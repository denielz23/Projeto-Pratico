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carregar_excel" defaultThemeVersion="166925"/>
  <mc:AlternateContent xmlns:mc="http://schemas.openxmlformats.org/markup-compatibility/2006">
    <mc:Choice Requires="x15">
      <x15ac:absPath xmlns:x15ac="http://schemas.microsoft.com/office/spreadsheetml/2010/11/ac" url="D:\Prog. em Microinformática\"/>
    </mc:Choice>
  </mc:AlternateContent>
  <xr:revisionPtr revIDLastSave="0" documentId="13_ncr:1_{CCA3E83D-DFBB-4F32-AF73-FE16B69B9F2D}" xr6:coauthVersionLast="36" xr6:coauthVersionMax="36" xr10:uidLastSave="{00000000-0000-0000-0000-000000000000}"/>
  <bookViews>
    <workbookView xWindow="-120" yWindow="-120" windowWidth="20730" windowHeight="11160" tabRatio="692" activeTab="3" xr2:uid="{00000000-000D-0000-FFFF-FFFF00000000}"/>
  </bookViews>
  <sheets>
    <sheet name="CONTAS" sheetId="1" r:id="rId1"/>
    <sheet name="OPERACIONAL" sheetId="5" r:id="rId2"/>
    <sheet name="PEDIDOS" sheetId="6" r:id="rId3"/>
    <sheet name="ENCERRAR" sheetId="7" r:id="rId4"/>
    <sheet name="VENDAS" sheetId="15" r:id="rId5"/>
    <sheet name="SUBTOTAL" sheetId="9" r:id="rId6"/>
    <sheet name="CONSOLIDAR" sheetId="12" r:id="rId7"/>
    <sheet name="TAB_DINAMICA" sheetId="11" r:id="rId8"/>
    <sheet name="METAS_(COITADOS)" sheetId="18" r:id="rId9"/>
    <sheet name="GRAFICO" sheetId="13" r:id="rId10"/>
    <sheet name="PRODUTOS_PEDIDOS" sheetId="17" r:id="rId11"/>
    <sheet name="CONTAS_LOGIN" sheetId="19" r:id="rId12"/>
  </sheets>
  <functionGroups builtInGroupCount="19"/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4" i="15" l="1"/>
  <c r="F12" i="15" l="1"/>
  <c r="R19" i="15" s="1"/>
  <c r="F13" i="15"/>
  <c r="F14" i="15"/>
  <c r="F15" i="15"/>
  <c r="F16" i="15"/>
  <c r="F17" i="15"/>
  <c r="F18" i="15"/>
  <c r="F19" i="15"/>
  <c r="C12" i="15"/>
  <c r="C13" i="15"/>
  <c r="C14" i="15"/>
  <c r="C15" i="15"/>
  <c r="C16" i="15"/>
  <c r="C17" i="15"/>
  <c r="C18" i="15"/>
  <c r="C19" i="15"/>
  <c r="H12" i="15"/>
  <c r="I12" i="15" s="1"/>
  <c r="H13" i="15"/>
  <c r="I13" i="15" s="1"/>
  <c r="H14" i="15"/>
  <c r="I14" i="15" s="1"/>
  <c r="H15" i="15"/>
  <c r="H16" i="15"/>
  <c r="I16" i="15" s="1"/>
  <c r="H17" i="15"/>
  <c r="I17" i="15" s="1"/>
  <c r="H18" i="15"/>
  <c r="I18" i="15" s="1"/>
  <c r="H19" i="15"/>
  <c r="I19" i="15" s="1"/>
  <c r="H11" i="15"/>
  <c r="I11" i="15" s="1"/>
  <c r="F11" i="15"/>
  <c r="C11" i="15"/>
  <c r="P17" i="15" l="1"/>
  <c r="R18" i="15"/>
  <c r="R17" i="15"/>
  <c r="P19" i="15"/>
  <c r="P18" i="15"/>
  <c r="P16" i="15"/>
  <c r="P11" i="15"/>
  <c r="P15" i="15"/>
  <c r="P12" i="15"/>
  <c r="I15" i="15"/>
  <c r="P13" i="15" s="1"/>
  <c r="P14" i="15"/>
  <c r="C142" i="9"/>
  <c r="C134" i="9"/>
  <c r="C125" i="9"/>
  <c r="C118" i="9"/>
  <c r="C111" i="9"/>
  <c r="C106" i="9"/>
  <c r="C97" i="9"/>
  <c r="C89" i="9"/>
  <c r="C82" i="9"/>
  <c r="C72" i="9"/>
  <c r="C62" i="9"/>
  <c r="C56" i="9"/>
  <c r="C48" i="9"/>
  <c r="C39" i="9"/>
  <c r="C32" i="9"/>
  <c r="C25" i="9"/>
  <c r="C16" i="9"/>
  <c r="H21" i="15" l="1"/>
  <c r="C143" i="9"/>
  <c r="H20" i="15"/>
  <c r="H23" i="15" l="1"/>
  <c r="H25" i="15" s="1"/>
</calcChain>
</file>

<file path=xl/sharedStrings.xml><?xml version="1.0" encoding="utf-8"?>
<sst xmlns="http://schemas.openxmlformats.org/spreadsheetml/2006/main" count="500" uniqueCount="168">
  <si>
    <t xml:space="preserve">Empresas </t>
  </si>
  <si>
    <t>Valores</t>
  </si>
  <si>
    <t>Nº Notas Fiscais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</si>
  <si>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</si>
  <si>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</si>
  <si>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</si>
  <si>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</si>
  <si>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</si>
  <si>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</si>
  <si>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</si>
  <si>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</si>
  <si>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</si>
  <si>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</si>
  <si>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</si>
  <si>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</si>
  <si>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</si>
  <si>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NOKIA</t>
  </si>
  <si>
    <t>PHILIPS</t>
  </si>
  <si>
    <t>SAMSUNG</t>
  </si>
  <si>
    <t>SONY</t>
  </si>
  <si>
    <t>Demonstrativo Mensal de Receitas  - Ref. Novebro 2020</t>
  </si>
  <si>
    <t>Elaborar apuração de subtotais, definindo o total de faturamento mensal de cada empresa.</t>
  </si>
  <si>
    <t>fornecedora de produtos.</t>
  </si>
  <si>
    <t>Consolidar a média de faturamento mensal de cada empresa fornecedora de produtos</t>
  </si>
  <si>
    <t>Média Faturamento</t>
  </si>
  <si>
    <t>Produtos</t>
  </si>
  <si>
    <t>Depto</t>
  </si>
  <si>
    <t>Janeiro</t>
  </si>
  <si>
    <t>Fevereiro</t>
  </si>
  <si>
    <t>Março</t>
  </si>
  <si>
    <t>Mouse Óptico sem fio Microsoft</t>
  </si>
  <si>
    <t>Informática</t>
  </si>
  <si>
    <t>Impressora Multi HP</t>
  </si>
  <si>
    <t>Notebook Dell</t>
  </si>
  <si>
    <t>Monitor LCD 19'' AOC</t>
  </si>
  <si>
    <t>Smartphone Nokia N8</t>
  </si>
  <si>
    <t>Telefonia</t>
  </si>
  <si>
    <t>Telefone sem fio Motorola</t>
  </si>
  <si>
    <t>Pen Drive 4GB</t>
  </si>
  <si>
    <t>Notebook Sony Vaio</t>
  </si>
  <si>
    <t>Teclado sem fio Microsoft</t>
  </si>
  <si>
    <t>Roteador Wireless</t>
  </si>
  <si>
    <t>Placa de Captura TV Pinnacle</t>
  </si>
  <si>
    <t>Adaptador Porta USB</t>
  </si>
  <si>
    <t>Kit Multimidia (Cx.Som 5.1)</t>
  </si>
  <si>
    <t>Eletrônicos</t>
  </si>
  <si>
    <t xml:space="preserve">TIMChip Infinity Pré - 128KB </t>
  </si>
  <si>
    <t>Consolidar Valores</t>
  </si>
  <si>
    <t>Elaborar uma tabela dinâmica, conforme referências, como seguem:</t>
  </si>
  <si>
    <t>Demonstrativo Mensal de Receitas - (Entre Janeiro e Março - 2020)</t>
  </si>
  <si>
    <t>Demonstrativo Mensal de Receitas  - Ref. Julho 2020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</si>
  <si>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</si>
  <si>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</si>
  <si>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</si>
  <si>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</si>
  <si>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</si>
  <si>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</si>
  <si>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</si>
  <si>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</si>
  <si>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</si>
  <si>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</si>
  <si>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</si>
  <si>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</si>
  <si>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</si>
  <si>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</si>
  <si>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</si>
  <si>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Demonstrativo  de Receitas Anuais - ref. 2019 / 2020</t>
  </si>
  <si>
    <t>RECEITAS DE VENDAS ANUAIS 2019</t>
  </si>
  <si>
    <t>RECEITAS DE VENDAS ANUAIS 2020</t>
  </si>
  <si>
    <t>Elaborar um gráfico tipo (linha) em uma "nova planilha", traçando um comparativo de vendas mensais em relação a meta da referida empresa.</t>
  </si>
  <si>
    <t>ID DO CLIENTE</t>
  </si>
  <si>
    <t>DADOS DO CLIENTE</t>
  </si>
  <si>
    <t>Nome do Cliente</t>
  </si>
  <si>
    <t>CPF / CNPJ</t>
  </si>
  <si>
    <t>RG.</t>
  </si>
  <si>
    <t>DADOS DO(S) PRODUTO(S)</t>
  </si>
  <si>
    <t>ESTATÍSTICAS GERAIS - PRODUTOS</t>
  </si>
  <si>
    <t>DESCRIÇÃO DO PRODUTO</t>
  </si>
  <si>
    <t>DEPTO</t>
  </si>
  <si>
    <t>QTDE</t>
  </si>
  <si>
    <t>$ UNITÁRIO</t>
  </si>
  <si>
    <t>SUBTOTAL</t>
  </si>
  <si>
    <t>Segundo Menor $ Unitário</t>
  </si>
  <si>
    <t>Quarto Maior $ Unitário</t>
  </si>
  <si>
    <t>Média global do subtotal</t>
  </si>
  <si>
    <t>Subtotal - Produtos informática</t>
  </si>
  <si>
    <t>Subtotal - Produtos telefonia</t>
  </si>
  <si>
    <t>Subtotal - Produtos eletrônicos</t>
  </si>
  <si>
    <t>Qtde produtos de informática</t>
  </si>
  <si>
    <t>Qtde produtos de telefonia</t>
  </si>
  <si>
    <t>Qtde produtos eletrônicos</t>
  </si>
  <si>
    <t>Subtotal parcial</t>
  </si>
  <si>
    <t>Referências - Forma de Pagamento</t>
  </si>
  <si>
    <t>Forma de pagamento</t>
  </si>
  <si>
    <t>À Vista</t>
  </si>
  <si>
    <t>Desconto 20%</t>
  </si>
  <si>
    <t>Desconto concedido</t>
  </si>
  <si>
    <t>À Prazo - cheque</t>
  </si>
  <si>
    <t>Juros de 4,75%</t>
  </si>
  <si>
    <t>Valor da parcela - 3X</t>
  </si>
  <si>
    <t>3 vezes</t>
  </si>
  <si>
    <t>Juros de 9,69%</t>
  </si>
  <si>
    <t>Total a pagar</t>
  </si>
  <si>
    <t>Cartão Crédito</t>
  </si>
  <si>
    <t>Desconto 5%</t>
  </si>
  <si>
    <t>ID PRODUTO</t>
  </si>
  <si>
    <t>TV Led 40'' Samsung</t>
  </si>
  <si>
    <t>Blu-Ray e DVD Player  - Sony</t>
  </si>
  <si>
    <t>Home Theater - Philips</t>
  </si>
  <si>
    <t>Nextel i897 Ferrari</t>
  </si>
  <si>
    <t>Antena de TV DHTV - Benq</t>
  </si>
  <si>
    <t>Leitor de Código de Barras</t>
  </si>
  <si>
    <t>Vivo Chip Avulso DDD 11</t>
  </si>
  <si>
    <t>Chip Claro 128K Pré-Pago - DDD11</t>
  </si>
  <si>
    <t>TV 40" LED 3D Full HD - Samsung</t>
  </si>
  <si>
    <t>Nobreak Logitech 127w</t>
  </si>
  <si>
    <t>Motorola EX115 Preto - GSM</t>
  </si>
  <si>
    <t>DVD Player Automotivo - Buster</t>
  </si>
  <si>
    <t>ID PEDIDO</t>
  </si>
  <si>
    <t>CPF</t>
  </si>
  <si>
    <t>NOME DO CLIENTE</t>
  </si>
  <si>
    <t>RG</t>
  </si>
  <si>
    <t>PRODUTO COMPRADO</t>
  </si>
  <si>
    <t xml:space="preserve">QTDE </t>
  </si>
  <si>
    <t>VALOR TOTAL</t>
  </si>
  <si>
    <t>VALOR UNITÁRIO</t>
  </si>
  <si>
    <t>DATA COMPRA</t>
  </si>
  <si>
    <t>HORA COMPRA</t>
  </si>
  <si>
    <t>CATEGORIA</t>
  </si>
  <si>
    <t>RELAÇÃO GERAL DE PRODUTOS</t>
  </si>
  <si>
    <t>RELAÇÃO GERAL DE COMPRAS EFETUADAS PELOS CLIENTES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</si>
  <si>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</si>
  <si>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</si>
  <si>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</si>
  <si>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</si>
  <si>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</si>
  <si>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</si>
  <si>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</si>
  <si>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</si>
  <si>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</si>
  <si>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</si>
  <si>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</si>
  <si>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</si>
  <si>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</si>
  <si>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</si>
  <si>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</si>
  <si>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</si>
  <si>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</si>
  <si>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</si>
  <si>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</si>
  <si>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</si>
  <si>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</si>
  <si>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</si>
  <si>
    <t>ID CONTA</t>
  </si>
  <si>
    <t>USUÁRIO</t>
  </si>
  <si>
    <t>E-MAIL</t>
  </si>
  <si>
    <t>SENHA</t>
  </si>
  <si>
    <t>TIPO CONTA</t>
  </si>
  <si>
    <t>STATUS</t>
  </si>
  <si>
    <t>LISTA DE CONTAS - LOGIN</t>
  </si>
  <si>
    <t>Jailson</t>
  </si>
  <si>
    <t>jailsontrollagens@fatec</t>
  </si>
  <si>
    <t>1234</t>
  </si>
  <si>
    <t>Usuário</t>
  </si>
  <si>
    <t>ATIVA</t>
  </si>
  <si>
    <t>Astrogildo</t>
  </si>
  <si>
    <t>astrogildo@fatec</t>
  </si>
  <si>
    <t>BLOQUEADA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</si>
</sst>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&quot;R$&quot;#,##0.00_);\(&quot;R$&quot;#,##0.00\)"/>
    <numFmt numFmtId="166" formatCode="_(&quot;R$&quot;* #,##0.00_);_(&quot;R$&quot;* \(#,##0.00\);_(&quot;R$&quot;* &quot;-&quot;??_);_(@_)"/>
    <numFmt numFmtId="167" formatCode="&quot;R$ &quot;#,##0.00"/>
    <numFmt numFmtId="168" formatCode="&quot;R$ &quot;#,##0.00_);\(&quot;R$ &quot;#,##0.00\)"/>
    <numFmt numFmtId="169" formatCode="_(&quot;R$ &quot;* #,##0.00_);_(&quot;R$ &quot;* \(#,##0.00\);_(&quot;R$ &quot;* &quot;-&quot;??_);_(@_)"/>
  </numFmts>
  <fonts count="40">
    <font>
      <sz val="11"/>
      <color theme="1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0"/>
      <name val="Barlow Black"/>
      <family val="3"/>
    </font>
    <font>
      <b/>
      <sz val="28"/>
      <color theme="0"/>
      <name val="Cooper Black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Cooper Black"/>
      <family val="1"/>
    </font>
    <font>
      <b/>
      <sz val="16"/>
      <color theme="0"/>
      <name val="Calisto MT"/>
      <family val="1"/>
    </font>
    <font>
      <sz val="16"/>
      <color theme="0"/>
      <name val="Calisto MT"/>
      <family val="1"/>
    </font>
    <font>
      <sz val="16"/>
      <color theme="1"/>
      <name val="Calisto MT"/>
      <family val="1"/>
    </font>
    <font>
      <sz val="11"/>
      <color theme="1"/>
      <name val="Calisto MT"/>
      <family val="1"/>
    </font>
    <font>
      <b/>
      <sz val="1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0"/>
      <color indexed="9"/>
      <name val="Arial"/>
      <family val="2"/>
    </font>
    <font>
      <sz val="9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i/>
      <sz val="14"/>
      <name val="Arial"/>
      <family val="2"/>
    </font>
    <font>
      <b/>
      <sz val="14"/>
      <color theme="3" tint="-0.499984740745262"/>
      <name val="Arial"/>
      <family val="2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i/>
      <sz val="10"/>
      <color rgb="FFFF0000"/>
      <name val="Arial"/>
      <family val="2"/>
    </font>
    <font>
      <b/>
      <i/>
      <sz val="10"/>
      <color theme="2" tint="-0.89999084444715716"/>
      <name val="Arial"/>
      <family val="2"/>
    </font>
    <font>
      <i/>
      <sz val="11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 Rounded MT Bold"/>
      <family val="2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4" tint="-0.499984740745262"/>
      <name val="Arial"/>
      <family val="2"/>
    </font>
    <font>
      <b/>
      <i/>
      <sz val="10"/>
      <color theme="4" tint="-0.499984740745262"/>
      <name val="Calibri"/>
      <family val="2"/>
      <scheme val="minor"/>
    </font>
    <font>
      <b/>
      <i/>
      <sz val="10"/>
      <color theme="3" tint="-0.499984740745262"/>
      <name val="Arial"/>
      <family val="2"/>
    </font>
    <font>
      <b/>
      <i/>
      <sz val="10"/>
      <color indexed="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8294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6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17" fillId="0" borderId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</cellStyleXfs>
  <cellXfs count="248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Fill="1"/>
    <xf numFmtId="0" fontId="1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0" fillId="0" borderId="0" xfId="0" applyFill="1" applyBorder="1"/>
    <xf numFmtId="0" fontId="1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167" fontId="0" fillId="0" borderId="0" xfId="0" applyNumberFormat="1"/>
    <xf numFmtId="1" fontId="9" fillId="4" borderId="4" xfId="0" applyNumberFormat="1" applyFont="1" applyFill="1" applyBorder="1" applyAlignment="1">
      <alignment horizontal="center"/>
    </xf>
    <xf numFmtId="167" fontId="9" fillId="4" borderId="4" xfId="0" applyNumberFormat="1" applyFont="1" applyFill="1" applyBorder="1" applyAlignment="1">
      <alignment horizontal="center"/>
    </xf>
    <xf numFmtId="1" fontId="5" fillId="3" borderId="5" xfId="0" applyNumberFormat="1" applyFont="1" applyFill="1" applyBorder="1"/>
    <xf numFmtId="166" fontId="5" fillId="3" borderId="5" xfId="2" applyFont="1" applyFill="1" applyBorder="1" applyAlignment="1">
      <alignment horizontal="left"/>
    </xf>
    <xf numFmtId="1" fontId="7" fillId="3" borderId="5" xfId="0" applyNumberFormat="1" applyFont="1" applyFill="1" applyBorder="1" applyAlignment="1">
      <alignment horizontal="center"/>
    </xf>
    <xf numFmtId="166" fontId="5" fillId="3" borderId="6" xfId="2" applyFont="1" applyFill="1" applyBorder="1" applyAlignment="1">
      <alignment horizontal="left"/>
    </xf>
    <xf numFmtId="1" fontId="7" fillId="3" borderId="6" xfId="0" applyNumberFormat="1" applyFont="1" applyFill="1" applyBorder="1" applyAlignment="1">
      <alignment horizontal="center"/>
    </xf>
    <xf numFmtId="1" fontId="5" fillId="3" borderId="6" xfId="0" applyNumberFormat="1" applyFont="1" applyFill="1" applyBorder="1"/>
    <xf numFmtId="0" fontId="7" fillId="3" borderId="6" xfId="0" applyNumberFormat="1" applyFont="1" applyFill="1" applyBorder="1" applyAlignment="1">
      <alignment horizontal="center"/>
    </xf>
    <xf numFmtId="1" fontId="5" fillId="3" borderId="7" xfId="0" applyNumberFormat="1" applyFont="1" applyFill="1" applyBorder="1"/>
    <xf numFmtId="166" fontId="5" fillId="3" borderId="7" xfId="2" applyFont="1" applyFill="1" applyBorder="1" applyAlignment="1">
      <alignment horizontal="left"/>
    </xf>
    <xf numFmtId="1" fontId="7" fillId="3" borderId="7" xfId="0" applyNumberFormat="1" applyFont="1" applyFill="1" applyBorder="1" applyAlignment="1">
      <alignment horizontal="center"/>
    </xf>
    <xf numFmtId="0" fontId="11" fillId="0" borderId="0" xfId="0" applyFont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12" fillId="0" borderId="0" xfId="0" applyFont="1" applyFill="1" applyAlignment="1"/>
    <xf numFmtId="0" fontId="13" fillId="0" borderId="0" xfId="0" applyFont="1" applyFill="1" applyAlignment="1"/>
    <xf numFmtId="0" fontId="13" fillId="0" borderId="0" xfId="0" applyFont="1" applyFill="1" applyBorder="1" applyAlignment="1"/>
    <xf numFmtId="0" fontId="14" fillId="0" borderId="0" xfId="0" applyFont="1" applyFill="1" applyBorder="1" applyAlignment="1"/>
    <xf numFmtId="0" fontId="15" fillId="0" borderId="0" xfId="0" applyFont="1" applyFill="1" applyAlignment="1"/>
    <xf numFmtId="0" fontId="7" fillId="0" borderId="0" xfId="0" applyFont="1" applyAlignment="1">
      <alignment horizontal="left"/>
    </xf>
    <xf numFmtId="1" fontId="9" fillId="4" borderId="8" xfId="0" applyNumberFormat="1" applyFont="1" applyFill="1" applyBorder="1" applyAlignment="1">
      <alignment horizontal="center"/>
    </xf>
    <xf numFmtId="167" fontId="9" fillId="4" borderId="8" xfId="0" applyNumberFormat="1" applyFont="1" applyFill="1" applyBorder="1" applyAlignment="1">
      <alignment horizontal="center"/>
    </xf>
    <xf numFmtId="1" fontId="16" fillId="3" borderId="9" xfId="0" applyNumberFormat="1" applyFont="1" applyFill="1" applyBorder="1" applyAlignment="1">
      <alignment horizontal="left"/>
    </xf>
    <xf numFmtId="1" fontId="16" fillId="3" borderId="6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left"/>
    </xf>
    <xf numFmtId="0" fontId="16" fillId="3" borderId="7" xfId="0" applyFont="1" applyFill="1" applyBorder="1" applyAlignment="1">
      <alignment horizontal="left"/>
    </xf>
    <xf numFmtId="167" fontId="9" fillId="0" borderId="0" xfId="0" applyNumberFormat="1" applyFont="1" applyFill="1" applyBorder="1" applyAlignment="1">
      <alignment horizontal="center"/>
    </xf>
    <xf numFmtId="1" fontId="5" fillId="0" borderId="0" xfId="0" applyNumberFormat="1" applyFont="1" applyFill="1" applyBorder="1"/>
    <xf numFmtId="166" fontId="5" fillId="0" borderId="0" xfId="2" applyFont="1" applyFill="1" applyBorder="1" applyAlignment="1">
      <alignment horizontal="left"/>
    </xf>
    <xf numFmtId="1" fontId="7" fillId="0" borderId="0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166" fontId="16" fillId="0" borderId="0" xfId="2" applyFont="1" applyFill="1" applyBorder="1" applyAlignment="1">
      <alignment horizontal="center"/>
    </xf>
    <xf numFmtId="0" fontId="16" fillId="0" borderId="0" xfId="0" applyFont="1" applyFill="1" applyBorder="1" applyAlignment="1">
      <alignment horizontal="left"/>
    </xf>
    <xf numFmtId="0" fontId="18" fillId="3" borderId="16" xfId="3" applyFont="1" applyFill="1" applyBorder="1" applyAlignment="1">
      <alignment wrapText="1"/>
    </xf>
    <xf numFmtId="0" fontId="5" fillId="3" borderId="13" xfId="0" applyFont="1" applyFill="1" applyBorder="1" applyAlignment="1">
      <alignment horizontal="center"/>
    </xf>
    <xf numFmtId="166" fontId="5" fillId="3" borderId="13" xfId="0" applyNumberFormat="1" applyFont="1" applyFill="1" applyBorder="1" applyAlignment="1">
      <alignment horizontal="center"/>
    </xf>
    <xf numFmtId="166" fontId="5" fillId="3" borderId="13" xfId="0" applyNumberFormat="1" applyFont="1" applyFill="1" applyBorder="1"/>
    <xf numFmtId="166" fontId="5" fillId="3" borderId="17" xfId="0" applyNumberFormat="1" applyFont="1" applyFill="1" applyBorder="1"/>
    <xf numFmtId="0" fontId="5" fillId="3" borderId="16" xfId="0" applyFont="1" applyFill="1" applyBorder="1"/>
    <xf numFmtId="0" fontId="5" fillId="3" borderId="18" xfId="0" applyFont="1" applyFill="1" applyBorder="1"/>
    <xf numFmtId="0" fontId="5" fillId="3" borderId="19" xfId="0" applyFont="1" applyFill="1" applyBorder="1" applyAlignment="1">
      <alignment horizontal="center"/>
    </xf>
    <xf numFmtId="166" fontId="5" fillId="3" borderId="19" xfId="0" applyNumberFormat="1" applyFont="1" applyFill="1" applyBorder="1" applyAlignment="1">
      <alignment horizontal="center"/>
    </xf>
    <xf numFmtId="166" fontId="5" fillId="3" borderId="19" xfId="0" applyNumberFormat="1" applyFont="1" applyFill="1" applyBorder="1"/>
    <xf numFmtId="166" fontId="5" fillId="3" borderId="20" xfId="0" applyNumberFormat="1" applyFont="1" applyFill="1" applyBorder="1"/>
    <xf numFmtId="0" fontId="18" fillId="3" borderId="21" xfId="3" applyFont="1" applyFill="1" applyBorder="1" applyAlignment="1">
      <alignment wrapText="1"/>
    </xf>
    <xf numFmtId="0" fontId="5" fillId="3" borderId="22" xfId="0" applyFont="1" applyFill="1" applyBorder="1" applyAlignment="1">
      <alignment horizontal="center"/>
    </xf>
    <xf numFmtId="166" fontId="5" fillId="3" borderId="22" xfId="0" applyNumberFormat="1" applyFont="1" applyFill="1" applyBorder="1" applyAlignment="1">
      <alignment horizontal="center"/>
    </xf>
    <xf numFmtId="166" fontId="5" fillId="3" borderId="22" xfId="0" applyNumberFormat="1" applyFont="1" applyFill="1" applyBorder="1"/>
    <xf numFmtId="166" fontId="5" fillId="3" borderId="23" xfId="0" applyNumberFormat="1" applyFont="1" applyFill="1" applyBorder="1"/>
    <xf numFmtId="0" fontId="19" fillId="4" borderId="24" xfId="3" applyFont="1" applyFill="1" applyBorder="1" applyAlignment="1">
      <alignment horizontal="center" wrapText="1"/>
    </xf>
    <xf numFmtId="166" fontId="19" fillId="4" borderId="25" xfId="2" applyFont="1" applyFill="1" applyBorder="1" applyAlignment="1">
      <alignment horizontal="center" wrapText="1"/>
    </xf>
    <xf numFmtId="0" fontId="5" fillId="4" borderId="2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66" fontId="5" fillId="0" borderId="0" xfId="0" applyNumberFormat="1" applyFont="1" applyFill="1" applyBorder="1" applyAlignment="1">
      <alignment horizontal="center"/>
    </xf>
    <xf numFmtId="166" fontId="5" fillId="0" borderId="0" xfId="0" applyNumberFormat="1" applyFont="1" applyFill="1" applyBorder="1"/>
    <xf numFmtId="0" fontId="5" fillId="0" borderId="0" xfId="0" applyFont="1" applyFill="1" applyBorder="1"/>
    <xf numFmtId="0" fontId="20" fillId="0" borderId="0" xfId="0" applyFont="1" applyFill="1" applyBorder="1" applyAlignment="1">
      <alignment horizontal="center" vertical="center"/>
    </xf>
    <xf numFmtId="168" fontId="21" fillId="0" borderId="0" xfId="1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168" fontId="7" fillId="3" borderId="15" xfId="1" applyNumberFormat="1" applyFont="1" applyFill="1" applyBorder="1" applyAlignment="1">
      <alignment horizontal="center" vertical="center"/>
    </xf>
    <xf numFmtId="168" fontId="8" fillId="0" borderId="0" xfId="1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69" fontId="7" fillId="3" borderId="9" xfId="2" applyNumberFormat="1" applyFont="1" applyFill="1" applyBorder="1" applyAlignment="1">
      <alignment horizontal="center" vertical="center"/>
    </xf>
    <xf numFmtId="168" fontId="7" fillId="3" borderId="17" xfId="1" applyNumberFormat="1" applyFont="1" applyFill="1" applyBorder="1" applyAlignment="1">
      <alignment horizontal="center" vertical="center"/>
    </xf>
    <xf numFmtId="169" fontId="7" fillId="3" borderId="5" xfId="2" applyNumberFormat="1" applyFont="1" applyFill="1" applyBorder="1" applyAlignment="1">
      <alignment horizontal="center" vertical="center"/>
    </xf>
    <xf numFmtId="168" fontId="7" fillId="3" borderId="20" xfId="1" applyNumberFormat="1" applyFont="1" applyFill="1" applyBorder="1" applyAlignment="1">
      <alignment horizontal="center" vertical="center"/>
    </xf>
    <xf numFmtId="169" fontId="7" fillId="3" borderId="28" xfId="2" applyNumberFormat="1" applyFont="1" applyFill="1" applyBorder="1" applyAlignment="1">
      <alignment horizontal="center" vertical="center"/>
    </xf>
    <xf numFmtId="0" fontId="25" fillId="0" borderId="0" xfId="0" quotePrefix="1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 vertical="center"/>
    </xf>
    <xf numFmtId="0" fontId="27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0" fillId="0" borderId="0" xfId="0" applyFont="1" applyBorder="1" applyAlignment="1">
      <alignment horizontal="center"/>
    </xf>
    <xf numFmtId="1" fontId="5" fillId="2" borderId="0" xfId="0" applyNumberFormat="1" applyFont="1" applyFill="1" applyBorder="1"/>
    <xf numFmtId="166" fontId="5" fillId="2" borderId="0" xfId="2" applyFont="1" applyFill="1" applyBorder="1" applyAlignment="1">
      <alignment horizontal="left"/>
    </xf>
    <xf numFmtId="1" fontId="7" fillId="2" borderId="0" xfId="0" applyNumberFormat="1" applyFont="1" applyFill="1" applyBorder="1" applyAlignment="1">
      <alignment horizontal="center"/>
    </xf>
    <xf numFmtId="0" fontId="7" fillId="2" borderId="0" xfId="0" applyNumberFormat="1" applyFont="1" applyFill="1" applyBorder="1" applyAlignment="1">
      <alignment horizontal="center"/>
    </xf>
    <xf numFmtId="0" fontId="5" fillId="3" borderId="46" xfId="0" applyFont="1" applyFill="1" applyBorder="1" applyAlignment="1">
      <alignment horizontal="left"/>
    </xf>
    <xf numFmtId="0" fontId="5" fillId="3" borderId="49" xfId="0" applyFont="1" applyFill="1" applyBorder="1" applyAlignment="1">
      <alignment horizontal="left"/>
    </xf>
    <xf numFmtId="0" fontId="5" fillId="3" borderId="44" xfId="0" applyFont="1" applyFill="1" applyBorder="1" applyAlignment="1">
      <alignment horizontal="left"/>
    </xf>
    <xf numFmtId="0" fontId="5" fillId="3" borderId="50" xfId="0" applyFont="1" applyFill="1" applyBorder="1" applyAlignment="1">
      <alignment horizontal="left"/>
    </xf>
    <xf numFmtId="0" fontId="2" fillId="2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28" fillId="2" borderId="0" xfId="0" applyFont="1" applyFill="1" applyBorder="1" applyAlignment="1">
      <alignment vertical="center"/>
    </xf>
    <xf numFmtId="0" fontId="24" fillId="8" borderId="4" xfId="0" applyFont="1" applyFill="1" applyBorder="1" applyAlignment="1">
      <alignment horizontal="center" vertical="center"/>
    </xf>
    <xf numFmtId="0" fontId="29" fillId="3" borderId="5" xfId="0" applyFont="1" applyFill="1" applyBorder="1" applyAlignment="1">
      <alignment horizontal="center"/>
    </xf>
    <xf numFmtId="1" fontId="29" fillId="3" borderId="5" xfId="0" applyNumberFormat="1" applyFont="1" applyFill="1" applyBorder="1" applyAlignment="1">
      <alignment horizontal="center"/>
    </xf>
    <xf numFmtId="1" fontId="29" fillId="3" borderId="6" xfId="0" applyNumberFormat="1" applyFont="1" applyFill="1" applyBorder="1" applyAlignment="1">
      <alignment horizontal="center"/>
    </xf>
    <xf numFmtId="1" fontId="29" fillId="3" borderId="7" xfId="0" applyNumberFormat="1" applyFont="1" applyFill="1" applyBorder="1" applyAlignment="1">
      <alignment horizontal="center"/>
    </xf>
    <xf numFmtId="165" fontId="29" fillId="3" borderId="5" xfId="2" applyNumberFormat="1" applyFont="1" applyFill="1" applyBorder="1" applyAlignment="1">
      <alignment horizontal="center"/>
    </xf>
    <xf numFmtId="166" fontId="28" fillId="0" borderId="0" xfId="2" applyFont="1" applyBorder="1" applyAlignment="1">
      <alignment horizontal="center"/>
    </xf>
    <xf numFmtId="0" fontId="29" fillId="8" borderId="5" xfId="0" applyFont="1" applyFill="1" applyBorder="1" applyAlignment="1">
      <alignment horizontal="center"/>
    </xf>
    <xf numFmtId="0" fontId="29" fillId="8" borderId="6" xfId="0" applyFont="1" applyFill="1" applyBorder="1" applyAlignment="1">
      <alignment horizontal="center"/>
    </xf>
    <xf numFmtId="0" fontId="29" fillId="8" borderId="7" xfId="0" applyFont="1" applyFill="1" applyBorder="1" applyAlignment="1">
      <alignment horizontal="center"/>
    </xf>
    <xf numFmtId="0" fontId="23" fillId="7" borderId="1" xfId="0" applyFont="1" applyFill="1" applyBorder="1" applyAlignment="1">
      <alignment vertical="center"/>
    </xf>
    <xf numFmtId="0" fontId="23" fillId="7" borderId="46" xfId="0" applyFont="1" applyFill="1" applyBorder="1" applyAlignment="1">
      <alignment horizontal="center" vertical="center"/>
    </xf>
    <xf numFmtId="0" fontId="23" fillId="7" borderId="45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/>
    </xf>
    <xf numFmtId="0" fontId="23" fillId="7" borderId="46" xfId="0" applyFont="1" applyFill="1" applyBorder="1" applyAlignment="1"/>
    <xf numFmtId="0" fontId="23" fillId="7" borderId="10" xfId="0" applyFont="1" applyFill="1" applyBorder="1" applyAlignment="1"/>
    <xf numFmtId="0" fontId="23" fillId="7" borderId="44" xfId="0" applyFont="1" applyFill="1" applyBorder="1" applyAlignment="1"/>
    <xf numFmtId="0" fontId="23" fillId="7" borderId="11" xfId="0" applyFont="1" applyFill="1" applyBorder="1" applyAlignment="1"/>
    <xf numFmtId="0" fontId="23" fillId="7" borderId="45" xfId="0" applyFont="1" applyFill="1" applyBorder="1" applyAlignment="1"/>
    <xf numFmtId="0" fontId="23" fillId="7" borderId="12" xfId="0" applyFont="1" applyFill="1" applyBorder="1" applyAlignment="1"/>
    <xf numFmtId="0" fontId="10" fillId="2" borderId="0" xfId="0" applyFont="1" applyFill="1" applyBorder="1" applyAlignment="1"/>
    <xf numFmtId="0" fontId="20" fillId="6" borderId="4" xfId="0" applyFont="1" applyFill="1" applyBorder="1" applyAlignment="1">
      <alignment horizontal="center" vertical="center" wrapText="1"/>
    </xf>
    <xf numFmtId="0" fontId="20" fillId="6" borderId="4" xfId="0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"/>
    </xf>
    <xf numFmtId="167" fontId="31" fillId="6" borderId="4" xfId="0" applyNumberFormat="1" applyFont="1" applyFill="1" applyBorder="1" applyAlignment="1">
      <alignment horizontal="center"/>
    </xf>
    <xf numFmtId="0" fontId="36" fillId="3" borderId="9" xfId="3" applyFont="1" applyFill="1" applyBorder="1" applyAlignment="1">
      <alignment horizontal="center" wrapText="1"/>
    </xf>
    <xf numFmtId="0" fontId="36" fillId="3" borderId="9" xfId="3" applyFont="1" applyFill="1" applyBorder="1" applyAlignment="1">
      <alignment wrapText="1"/>
    </xf>
    <xf numFmtId="166" fontId="36" fillId="3" borderId="9" xfId="5" applyFont="1" applyFill="1" applyBorder="1" applyAlignment="1">
      <alignment horizontal="center" wrapText="1"/>
    </xf>
    <xf numFmtId="0" fontId="37" fillId="3" borderId="52" xfId="0" applyFont="1" applyFill="1" applyBorder="1" applyAlignment="1">
      <alignment horizontal="center"/>
    </xf>
    <xf numFmtId="166" fontId="35" fillId="0" borderId="0" xfId="0" applyNumberFormat="1" applyFont="1" applyFill="1" applyBorder="1"/>
    <xf numFmtId="1" fontId="38" fillId="3" borderId="4" xfId="2" applyNumberFormat="1" applyFont="1" applyFill="1" applyBorder="1" applyAlignment="1">
      <alignment horizontal="center"/>
    </xf>
    <xf numFmtId="0" fontId="38" fillId="3" borderId="4" xfId="0" applyFont="1" applyFill="1" applyBorder="1" applyAlignment="1">
      <alignment horizontal="center"/>
    </xf>
    <xf numFmtId="1" fontId="38" fillId="3" borderId="4" xfId="0" applyNumberFormat="1" applyFont="1" applyFill="1" applyBorder="1" applyAlignment="1">
      <alignment horizontal="center"/>
    </xf>
    <xf numFmtId="166" fontId="38" fillId="3" borderId="4" xfId="0" applyNumberFormat="1" applyFont="1" applyFill="1" applyBorder="1" applyAlignment="1">
      <alignment horizontal="center"/>
    </xf>
    <xf numFmtId="14" fontId="38" fillId="3" borderId="4" xfId="0" applyNumberFormat="1" applyFont="1" applyFill="1" applyBorder="1" applyAlignment="1">
      <alignment horizontal="center"/>
    </xf>
    <xf numFmtId="18" fontId="38" fillId="3" borderId="4" xfId="0" applyNumberFormat="1" applyFont="1" applyFill="1" applyBorder="1" applyAlignment="1">
      <alignment horizontal="center"/>
    </xf>
    <xf numFmtId="0" fontId="36" fillId="3" borderId="6" xfId="3" applyFont="1" applyFill="1" applyBorder="1" applyAlignment="1">
      <alignment horizontal="center" wrapText="1"/>
    </xf>
    <xf numFmtId="0" fontId="36" fillId="3" borderId="6" xfId="3" applyFont="1" applyFill="1" applyBorder="1" applyAlignment="1">
      <alignment wrapText="1"/>
    </xf>
    <xf numFmtId="166" fontId="36" fillId="3" borderId="6" xfId="5" applyFont="1" applyFill="1" applyBorder="1" applyAlignment="1">
      <alignment horizontal="center" wrapText="1"/>
    </xf>
    <xf numFmtId="0" fontId="37" fillId="3" borderId="11" xfId="0" applyFont="1" applyFill="1" applyBorder="1" applyAlignment="1">
      <alignment horizontal="center"/>
    </xf>
    <xf numFmtId="0" fontId="37" fillId="3" borderId="6" xfId="0" applyFont="1" applyFill="1" applyBorder="1"/>
    <xf numFmtId="0" fontId="37" fillId="3" borderId="53" xfId="0" applyFont="1" applyFill="1" applyBorder="1"/>
    <xf numFmtId="0" fontId="33" fillId="0" borderId="0" xfId="0" applyFont="1" applyFill="1" applyBorder="1" applyAlignment="1">
      <alignment horizontal="left"/>
    </xf>
    <xf numFmtId="0" fontId="34" fillId="0" borderId="0" xfId="0" applyFont="1" applyFill="1" applyBorder="1"/>
    <xf numFmtId="0" fontId="34" fillId="2" borderId="0" xfId="0" applyFont="1" applyFill="1"/>
    <xf numFmtId="166" fontId="37" fillId="3" borderId="6" xfId="5" applyFont="1" applyFill="1" applyBorder="1"/>
    <xf numFmtId="0" fontId="36" fillId="3" borderId="7" xfId="3" applyFont="1" applyFill="1" applyBorder="1" applyAlignment="1">
      <alignment horizontal="center" wrapText="1"/>
    </xf>
    <xf numFmtId="0" fontId="37" fillId="3" borderId="7" xfId="0" applyFont="1" applyFill="1" applyBorder="1"/>
    <xf numFmtId="166" fontId="37" fillId="3" borderId="7" xfId="5" applyFont="1" applyFill="1" applyBorder="1"/>
    <xf numFmtId="0" fontId="37" fillId="3" borderId="12" xfId="0" applyFont="1" applyFill="1" applyBorder="1" applyAlignment="1">
      <alignment horizontal="center"/>
    </xf>
    <xf numFmtId="1" fontId="5" fillId="3" borderId="0" xfId="0" applyNumberFormat="1" applyFont="1" applyFill="1" applyBorder="1"/>
    <xf numFmtId="166" fontId="5" fillId="3" borderId="0" xfId="2" applyFont="1" applyFill="1" applyBorder="1" applyAlignment="1">
      <alignment horizontal="left"/>
    </xf>
    <xf numFmtId="1" fontId="7" fillId="3" borderId="0" xfId="0" applyNumberFormat="1" applyFont="1" applyFill="1" applyBorder="1" applyAlignment="1">
      <alignment horizontal="center"/>
    </xf>
    <xf numFmtId="166" fontId="16" fillId="3" borderId="10" xfId="2" applyNumberFormat="1" applyFont="1" applyFill="1" applyBorder="1" applyAlignment="1">
      <alignment horizontal="center"/>
    </xf>
    <xf numFmtId="166" fontId="16" fillId="3" borderId="11" xfId="2" applyNumberFormat="1" applyFont="1" applyFill="1" applyBorder="1" applyAlignment="1">
      <alignment horizontal="center"/>
    </xf>
    <xf numFmtId="166" fontId="16" fillId="3" borderId="12" xfId="2" applyNumberFormat="1" applyFont="1" applyFill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22" fillId="2" borderId="0" xfId="0" applyFont="1" applyFill="1"/>
    <xf numFmtId="0" fontId="6" fillId="0" borderId="0" xfId="0" applyFont="1" applyFill="1" applyBorder="1" applyAlignment="1">
      <alignment horizontal="center"/>
    </xf>
    <xf numFmtId="166" fontId="36" fillId="3" borderId="52" xfId="5" applyFont="1" applyFill="1" applyBorder="1" applyAlignment="1">
      <alignment horizontal="center" wrapText="1"/>
    </xf>
    <xf numFmtId="166" fontId="36" fillId="3" borderId="11" xfId="5" applyFont="1" applyFill="1" applyBorder="1" applyAlignment="1">
      <alignment horizontal="center" wrapText="1"/>
    </xf>
    <xf numFmtId="166" fontId="37" fillId="3" borderId="11" xfId="5" applyFont="1" applyFill="1" applyBorder="1"/>
    <xf numFmtId="166" fontId="37" fillId="3" borderId="12" xfId="5" applyFont="1" applyFill="1" applyBorder="1"/>
    <xf numFmtId="0" fontId="29" fillId="3" borderId="45" xfId="0" applyFont="1" applyFill="1" applyBorder="1" applyAlignment="1">
      <alignment horizontal="center"/>
    </xf>
    <xf numFmtId="0" fontId="29" fillId="3" borderId="12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6" fontId="29" fillId="3" borderId="14" xfId="2" applyFont="1" applyFill="1" applyBorder="1" applyAlignment="1">
      <alignment horizontal="center"/>
    </xf>
    <xf numFmtId="166" fontId="29" fillId="3" borderId="47" xfId="2" applyFont="1" applyFill="1" applyBorder="1" applyAlignment="1">
      <alignment horizontal="center"/>
    </xf>
    <xf numFmtId="166" fontId="29" fillId="3" borderId="15" xfId="2" applyFont="1" applyFill="1" applyBorder="1" applyAlignment="1">
      <alignment horizontal="center"/>
    </xf>
    <xf numFmtId="0" fontId="22" fillId="6" borderId="1" xfId="0" applyFont="1" applyFill="1" applyBorder="1" applyAlignment="1">
      <alignment horizontal="center"/>
    </xf>
    <xf numFmtId="0" fontId="22" fillId="6" borderId="2" xfId="0" applyFont="1" applyFill="1" applyBorder="1" applyAlignment="1">
      <alignment horizontal="center"/>
    </xf>
    <xf numFmtId="0" fontId="22" fillId="6" borderId="3" xfId="0" applyFont="1" applyFill="1" applyBorder="1" applyAlignment="1">
      <alignment horizontal="center"/>
    </xf>
    <xf numFmtId="0" fontId="7" fillId="3" borderId="44" xfId="0" applyFont="1" applyFill="1" applyBorder="1" applyAlignment="1">
      <alignment horizontal="center"/>
    </xf>
    <xf numFmtId="0" fontId="7" fillId="3" borderId="48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5" fillId="3" borderId="31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166" fontId="29" fillId="3" borderId="16" xfId="2" applyFont="1" applyFill="1" applyBorder="1" applyAlignment="1">
      <alignment horizontal="center"/>
    </xf>
    <xf numFmtId="166" fontId="29" fillId="3" borderId="13" xfId="2" applyFont="1" applyFill="1" applyBorder="1" applyAlignment="1">
      <alignment horizontal="center"/>
    </xf>
    <xf numFmtId="166" fontId="29" fillId="3" borderId="17" xfId="2" applyFont="1" applyFill="1" applyBorder="1" applyAlignment="1">
      <alignment horizontal="center"/>
    </xf>
    <xf numFmtId="166" fontId="29" fillId="3" borderId="18" xfId="2" applyFont="1" applyFill="1" applyBorder="1" applyAlignment="1">
      <alignment horizontal="center"/>
    </xf>
    <xf numFmtId="166" fontId="29" fillId="3" borderId="19" xfId="2" applyFont="1" applyFill="1" applyBorder="1" applyAlignment="1">
      <alignment horizontal="center"/>
    </xf>
    <xf numFmtId="166" fontId="29" fillId="3" borderId="20" xfId="2" applyFont="1" applyFill="1" applyBorder="1" applyAlignment="1">
      <alignment horizontal="center"/>
    </xf>
    <xf numFmtId="0" fontId="5" fillId="3" borderId="45" xfId="0" applyFont="1" applyFill="1" applyBorder="1" applyAlignment="1">
      <alignment horizontal="left"/>
    </xf>
    <xf numFmtId="0" fontId="5" fillId="3" borderId="34" xfId="0" applyFont="1" applyFill="1" applyBorder="1" applyAlignment="1">
      <alignment horizontal="left"/>
    </xf>
    <xf numFmtId="0" fontId="5" fillId="3" borderId="33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29" fillId="3" borderId="21" xfId="0" applyFont="1" applyFill="1" applyBorder="1" applyAlignment="1">
      <alignment horizontal="left"/>
    </xf>
    <xf numFmtId="0" fontId="29" fillId="3" borderId="22" xfId="0" applyFont="1" applyFill="1" applyBorder="1" applyAlignment="1">
      <alignment horizontal="left"/>
    </xf>
    <xf numFmtId="0" fontId="29" fillId="3" borderId="23" xfId="0" applyFont="1" applyFill="1" applyBorder="1" applyAlignment="1">
      <alignment horizontal="left"/>
    </xf>
    <xf numFmtId="166" fontId="29" fillId="3" borderId="21" xfId="2" applyFont="1" applyFill="1" applyBorder="1" applyAlignment="1">
      <alignment horizontal="center"/>
    </xf>
    <xf numFmtId="166" fontId="29" fillId="3" borderId="23" xfId="2" applyFont="1" applyFill="1" applyBorder="1" applyAlignment="1">
      <alignment horizontal="center"/>
    </xf>
    <xf numFmtId="0" fontId="31" fillId="7" borderId="18" xfId="0" applyFont="1" applyFill="1" applyBorder="1" applyAlignment="1">
      <alignment horizontal="left"/>
    </xf>
    <xf numFmtId="0" fontId="31" fillId="7" borderId="19" xfId="0" applyFont="1" applyFill="1" applyBorder="1" applyAlignment="1">
      <alignment horizontal="left"/>
    </xf>
    <xf numFmtId="0" fontId="31" fillId="7" borderId="33" xfId="0" applyFont="1" applyFill="1" applyBorder="1" applyAlignment="1">
      <alignment horizontal="left"/>
    </xf>
    <xf numFmtId="0" fontId="5" fillId="3" borderId="43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29" fillId="3" borderId="44" xfId="0" applyFont="1" applyFill="1" applyBorder="1" applyAlignment="1">
      <alignment horizontal="center"/>
    </xf>
    <xf numFmtId="0" fontId="29" fillId="3" borderId="11" xfId="0" applyFont="1" applyFill="1" applyBorder="1" applyAlignment="1">
      <alignment horizontal="center"/>
    </xf>
    <xf numFmtId="0" fontId="31" fillId="7" borderId="16" xfId="0" applyFont="1" applyFill="1" applyBorder="1" applyAlignment="1">
      <alignment horizontal="left"/>
    </xf>
    <xf numFmtId="0" fontId="31" fillId="7" borderId="13" xfId="0" applyFont="1" applyFill="1" applyBorder="1" applyAlignment="1">
      <alignment horizontal="left"/>
    </xf>
    <xf numFmtId="0" fontId="31" fillId="7" borderId="43" xfId="0" applyFont="1" applyFill="1" applyBorder="1" applyAlignment="1">
      <alignment horizontal="left"/>
    </xf>
    <xf numFmtId="166" fontId="29" fillId="3" borderId="44" xfId="2" applyFont="1" applyFill="1" applyBorder="1" applyAlignment="1">
      <alignment horizontal="center"/>
    </xf>
    <xf numFmtId="166" fontId="29" fillId="3" borderId="11" xfId="2" applyFont="1" applyFill="1" applyBorder="1" applyAlignment="1">
      <alignment horizontal="center"/>
    </xf>
    <xf numFmtId="0" fontId="31" fillId="7" borderId="21" xfId="0" applyFont="1" applyFill="1" applyBorder="1" applyAlignment="1">
      <alignment horizontal="left"/>
    </xf>
    <xf numFmtId="0" fontId="31" fillId="7" borderId="22" xfId="0" applyFont="1" applyFill="1" applyBorder="1" applyAlignment="1">
      <alignment horizontal="left"/>
    </xf>
    <xf numFmtId="0" fontId="31" fillId="7" borderId="42" xfId="0" applyFont="1" applyFill="1" applyBorder="1" applyAlignment="1">
      <alignment horizontal="left"/>
    </xf>
    <xf numFmtId="166" fontId="29" fillId="3" borderId="46" xfId="2" applyFont="1" applyFill="1" applyBorder="1" applyAlignment="1">
      <alignment horizontal="center"/>
    </xf>
    <xf numFmtId="166" fontId="29" fillId="3" borderId="10" xfId="2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8" fillId="3" borderId="45" xfId="0" applyFont="1" applyFill="1" applyBorder="1" applyAlignment="1">
      <alignment horizontal="center" vertical="center"/>
    </xf>
    <xf numFmtId="0" fontId="28" fillId="3" borderId="34" xfId="0" applyFont="1" applyFill="1" applyBorder="1" applyAlignment="1">
      <alignment horizontal="center" vertical="center"/>
    </xf>
    <xf numFmtId="0" fontId="23" fillId="7" borderId="33" xfId="0" applyFont="1" applyFill="1" applyBorder="1" applyAlignment="1">
      <alignment horizontal="center" vertical="center"/>
    </xf>
    <xf numFmtId="0" fontId="23" fillId="7" borderId="34" xfId="0" applyFont="1" applyFill="1" applyBorder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51" xfId="0" applyFont="1" applyFill="1" applyBorder="1" applyAlignment="1">
      <alignment horizontal="center" vertical="center"/>
    </xf>
    <xf numFmtId="0" fontId="6" fillId="6" borderId="30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40" xfId="0" applyFont="1" applyFill="1" applyBorder="1" applyAlignment="1">
      <alignment horizontal="center" vertical="center"/>
    </xf>
    <xf numFmtId="0" fontId="6" fillId="6" borderId="41" xfId="0" applyFont="1" applyFill="1" applyBorder="1" applyAlignment="1">
      <alignment horizontal="center" vertical="center"/>
    </xf>
    <xf numFmtId="0" fontId="32" fillId="7" borderId="24" xfId="0" applyFont="1" applyFill="1" applyBorder="1" applyAlignment="1">
      <alignment horizontal="center"/>
    </xf>
    <xf numFmtId="0" fontId="32" fillId="7" borderId="25" xfId="0" applyFont="1" applyFill="1" applyBorder="1" applyAlignment="1">
      <alignment horizontal="center"/>
    </xf>
    <xf numFmtId="0" fontId="32" fillId="7" borderId="26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8" fillId="3" borderId="46" xfId="0" applyFont="1" applyFill="1" applyBorder="1" applyAlignment="1">
      <alignment horizontal="center" vertical="center"/>
    </xf>
    <xf numFmtId="0" fontId="28" fillId="3" borderId="32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33" xfId="0" applyFont="1" applyFill="1" applyBorder="1" applyAlignment="1">
      <alignment horizontal="center" vertical="center"/>
    </xf>
    <xf numFmtId="0" fontId="28" fillId="3" borderId="35" xfId="0" applyFont="1" applyFill="1" applyBorder="1" applyAlignment="1">
      <alignment horizontal="center" vertical="center"/>
    </xf>
    <xf numFmtId="0" fontId="28" fillId="3" borderId="12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3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20" fillId="5" borderId="1" xfId="0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39" fillId="9" borderId="52" xfId="0" applyFont="1" applyFill="1" applyBorder="1" applyAlignment="1">
      <alignment horizontal="center"/>
    </xf>
    <xf numFmtId="0" fontId="39" fillId="10" borderId="11" xfId="0" applyFont="1" applyFill="1" applyBorder="1" applyAlignment="1">
      <alignment horizontal="center"/>
    </xf>
  </cellXfs>
  <cellStyles count="6">
    <cellStyle name="Moeda" xfId="2" builtinId="4"/>
    <cellStyle name="Moeda 2" xfId="5" xr:uid="{00000000-0005-0000-0000-000030000000}"/>
    <cellStyle name="Normal" xfId="0" builtinId="0"/>
    <cellStyle name="Normal_Dados Nota Fiscal" xfId="3" xr:uid="{00000000-0005-0000-0000-000002000000}"/>
    <cellStyle name="Vírgula" xfId="1" builtinId="3"/>
    <cellStyle name="Vírgula 2" xfId="4" xr:uid="{00000000-0005-0000-0000-000031000000}"/>
  </cellStyles>
  <dxfs count="0"/>
  <tableStyles count="0" defaultTableStyle="TableStyleMedium2" defaultPivotStyle="PivotStyleLight16"/>
  <colors>
    <mruColors>
      <color rgb="FF18294C"/>
      <color rgb="FF101B32"/>
      <color rgb="FF080E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Demonstrativo de Vendas</a:t>
            </a:r>
            <a:r>
              <a:rPr lang="pt-BR" baseline="0"/>
              <a:t> Anuais 2019 / 2020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2019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GRAFICO!$B$12:$B$23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GRAFICO!$C$12:$C$23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D9-4961-AA0E-3FBB0801EFDC}"/>
            </c:ext>
          </c:extLst>
        </c:ser>
        <c:ser>
          <c:idx val="1"/>
          <c:order val="1"/>
          <c:tx>
            <c:v>2020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GRAFICO!$B$12:$B$23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GRAFICO!$F$12:$F$23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D9-4961-AA0E-3FBB0801EFDC}"/>
            </c:ext>
          </c:extLst>
        </c:ser>
        <c:ser>
          <c:idx val="2"/>
          <c:order val="2"/>
          <c:tx>
            <c:v>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GRAFICO!$B$12:$B$23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GRAFICO!$H$12:$H$23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D9-4961-AA0E-3FBB0801E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1897576479"/>
        <c:axId val="1890093327"/>
      </c:lineChart>
      <c:catAx>
        <c:axId val="1897576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0093327"/>
        <c:crosses val="autoZero"/>
        <c:auto val="1"/>
        <c:lblAlgn val="ctr"/>
        <c:lblOffset val="100"/>
        <c:noMultiLvlLbl val="0"/>
      </c:catAx>
      <c:valAx>
        <c:axId val="1890093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Projeção de valores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7576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1DF8367-7686-4AF6-8CEC-983B06B33A93}">
  <sheetPr codeName="Gráfico1"/>
  <sheetViews>
    <sheetView zoomScale="6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2" fmlaLink="$A$1" fmlaRange="$L$22:$M$25" noThreeD="1" sel="1" val="0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3">
  <dgm:title val=""/>
  <dgm:desc val=""/>
  <dgm:catLst>
    <dgm:cat type="colorful" pri="10300"/>
  </dgm:catLst>
  <dgm:styleLbl name="node0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/>
      <a:schemeClr val="accent4"/>
    </dgm:fillClrLst>
    <dgm:linClrLst>
      <a:schemeClr val="accent3"/>
      <a:schemeClr val="accent4"/>
    </dgm:linClrLst>
    <dgm:effectClrLst/>
    <dgm:txLinClrLst/>
    <dgm:txFillClrLst/>
    <dgm:txEffectClrLst/>
  </dgm:styleLbl>
  <dgm:styleLbl name="ln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alpha val="50000"/>
      </a:schemeClr>
      <a:schemeClr val="accent4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4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3"/>
      <a:schemeClr val="accent4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4C5EB4F-C213-4AFB-97A0-865871F44B42}" type="doc">
      <dgm:prSet loTypeId="urn:microsoft.com/office/officeart/2005/8/layout/hList7" loCatId="list" qsTypeId="urn:microsoft.com/office/officeart/2005/8/quickstyle/simple1" qsCatId="simple" csTypeId="urn:microsoft.com/office/officeart/2005/8/colors/colorful3" csCatId="colorful" phldr="1"/>
      <dgm:spPr/>
      <dgm:t>
        <a:bodyPr/>
        <a:lstStyle/>
        <a:p>
          <a:endParaRPr lang="pt-BR"/>
        </a:p>
      </dgm:t>
    </dgm:pt>
    <dgm:pt modelId="{A928EEF2-E295-4094-98E6-DA57E4BE8257}">
      <dgm:prSet phldrT="[Texto]"/>
      <dgm:spPr>
        <a:solidFill>
          <a:srgbClr val="0070C0"/>
        </a:solidFill>
      </dgm:spPr>
      <dgm:t>
        <a:bodyPr/>
        <a:lstStyle/>
        <a:p>
          <a:r>
            <a:rPr lang="pt-BR" b="1"/>
            <a:t>Contas Cadastradas</a:t>
          </a:r>
        </a:p>
      </dgm:t>
    </dgm:pt>
    <dgm:pt modelId="{AE55D60B-50E3-496E-9E99-A3E1B0244078}" type="parTrans" cxnId="{5B863DD5-A3C8-472F-9733-314E4A025B77}">
      <dgm:prSet/>
      <dgm:spPr/>
      <dgm:t>
        <a:bodyPr/>
        <a:lstStyle/>
        <a:p>
          <a:endParaRPr lang="pt-BR"/>
        </a:p>
      </dgm:t>
    </dgm:pt>
    <dgm:pt modelId="{D584D3F9-D54D-4D58-9128-B4477A40B8CD}" type="sibTrans" cxnId="{5B863DD5-A3C8-472F-9733-314E4A025B77}">
      <dgm:prSet/>
      <dgm:spPr/>
      <dgm:t>
        <a:bodyPr/>
        <a:lstStyle/>
        <a:p>
          <a:endParaRPr lang="pt-BR"/>
        </a:p>
      </dgm:t>
    </dgm:pt>
    <dgm:pt modelId="{8359487F-7E77-4720-942A-075C124ECD8A}">
      <dgm:prSet phldrT="[Texto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pt-BR" b="1"/>
            <a:t>Contas    Ativas</a:t>
          </a:r>
        </a:p>
      </dgm:t>
    </dgm:pt>
    <dgm:pt modelId="{87279D19-CA4A-41BA-9DA4-2A7994A50857}" type="parTrans" cxnId="{A9D7EADB-1FD0-47D4-855D-CD8AE1236CB3}">
      <dgm:prSet/>
      <dgm:spPr/>
      <dgm:t>
        <a:bodyPr/>
        <a:lstStyle/>
        <a:p>
          <a:endParaRPr lang="pt-BR"/>
        </a:p>
      </dgm:t>
    </dgm:pt>
    <dgm:pt modelId="{54BE0BD3-A8F0-4B68-84ED-066B5A08236B}" type="sibTrans" cxnId="{A9D7EADB-1FD0-47D4-855D-CD8AE1236CB3}">
      <dgm:prSet/>
      <dgm:spPr/>
      <dgm:t>
        <a:bodyPr/>
        <a:lstStyle/>
        <a:p>
          <a:endParaRPr lang="pt-BR"/>
        </a:p>
      </dgm:t>
    </dgm:pt>
    <dgm:pt modelId="{C6ED9E95-7952-4DB1-B806-759D74A79A31}">
      <dgm:prSet phldrT="[Texto]"/>
      <dgm:spPr>
        <a:solidFill>
          <a:srgbClr val="C00000"/>
        </a:solidFill>
      </dgm:spPr>
      <dgm:t>
        <a:bodyPr/>
        <a:lstStyle/>
        <a:p>
          <a:r>
            <a:rPr lang="pt-BR" b="1" i="0"/>
            <a:t>Contas Bloqueadas</a:t>
          </a:r>
        </a:p>
      </dgm:t>
    </dgm:pt>
    <dgm:pt modelId="{D5414280-6F93-48BF-A0A1-F50168A1C63B}" type="parTrans" cxnId="{A5E5A3DA-7388-4CD4-B27F-5CAF20C4AD27}">
      <dgm:prSet/>
      <dgm:spPr/>
      <dgm:t>
        <a:bodyPr/>
        <a:lstStyle/>
        <a:p>
          <a:endParaRPr lang="pt-BR"/>
        </a:p>
      </dgm:t>
    </dgm:pt>
    <dgm:pt modelId="{3A52A048-067E-435E-946B-8264FB222811}" type="sibTrans" cxnId="{A5E5A3DA-7388-4CD4-B27F-5CAF20C4AD27}">
      <dgm:prSet/>
      <dgm:spPr/>
      <dgm:t>
        <a:bodyPr/>
        <a:lstStyle/>
        <a:p>
          <a:endParaRPr lang="pt-BR"/>
        </a:p>
      </dgm:t>
    </dgm:pt>
    <dgm:pt modelId="{5FC87D4B-DF94-4949-8CBA-B5A0B386860A}">
      <dgm:prSet phldrT="[Texto]"/>
      <dgm:spPr>
        <a:solidFill>
          <a:schemeClr val="tx1">
            <a:lumMod val="65000"/>
            <a:lumOff val="35000"/>
          </a:schemeClr>
        </a:solidFill>
      </dgm:spPr>
      <dgm:t>
        <a:bodyPr/>
        <a:lstStyle/>
        <a:p>
          <a:r>
            <a:rPr lang="pt-BR" b="1" i="0"/>
            <a:t>Produtos Cadastrados</a:t>
          </a:r>
        </a:p>
      </dgm:t>
    </dgm:pt>
    <dgm:pt modelId="{583C9B39-42DD-400D-B0EA-047AC28CC255}" type="parTrans" cxnId="{E31098EB-6453-4AC5-B562-7302D878C0B9}">
      <dgm:prSet/>
      <dgm:spPr/>
      <dgm:t>
        <a:bodyPr/>
        <a:lstStyle/>
        <a:p>
          <a:endParaRPr lang="pt-BR"/>
        </a:p>
      </dgm:t>
    </dgm:pt>
    <dgm:pt modelId="{E8D514EA-B816-49AF-A1F9-363AEC167146}" type="sibTrans" cxnId="{E31098EB-6453-4AC5-B562-7302D878C0B9}">
      <dgm:prSet/>
      <dgm:spPr/>
      <dgm:t>
        <a:bodyPr/>
        <a:lstStyle/>
        <a:p>
          <a:endParaRPr lang="pt-BR"/>
        </a:p>
      </dgm:t>
    </dgm:pt>
    <dgm:pt modelId="{328999AA-7DCC-4495-BA22-4CF444473608}">
      <dgm:prSet phldrT="[Texto]"/>
      <dgm:spPr>
        <a:solidFill>
          <a:schemeClr val="accent4">
            <a:lumMod val="75000"/>
          </a:schemeClr>
        </a:solidFill>
      </dgm:spPr>
      <dgm:t>
        <a:bodyPr/>
        <a:lstStyle/>
        <a:p>
          <a:r>
            <a:rPr lang="pt-BR" b="1" i="0"/>
            <a:t>Compras Efetuadas</a:t>
          </a:r>
        </a:p>
      </dgm:t>
    </dgm:pt>
    <dgm:pt modelId="{301CB07A-E5CC-4A4F-81A1-E3CB16F142D7}" type="parTrans" cxnId="{A7893F6E-2718-456F-BF7C-116CC4E49900}">
      <dgm:prSet/>
      <dgm:spPr/>
      <dgm:t>
        <a:bodyPr/>
        <a:lstStyle/>
        <a:p>
          <a:endParaRPr lang="pt-BR"/>
        </a:p>
      </dgm:t>
    </dgm:pt>
    <dgm:pt modelId="{81D7B3DE-4C2E-4086-ABE2-C316F5F6F0DD}" type="sibTrans" cxnId="{A7893F6E-2718-456F-BF7C-116CC4E49900}">
      <dgm:prSet/>
      <dgm:spPr/>
      <dgm:t>
        <a:bodyPr/>
        <a:lstStyle/>
        <a:p>
          <a:endParaRPr lang="pt-BR"/>
        </a:p>
      </dgm:t>
    </dgm:pt>
    <dgm:pt modelId="{89B70240-AF81-463D-82D6-338A20444C06}" type="pres">
      <dgm:prSet presAssocID="{34C5EB4F-C213-4AFB-97A0-865871F44B42}" presName="Name0" presStyleCnt="0">
        <dgm:presLayoutVars>
          <dgm:dir/>
          <dgm:resizeHandles val="exact"/>
        </dgm:presLayoutVars>
      </dgm:prSet>
      <dgm:spPr/>
    </dgm:pt>
    <dgm:pt modelId="{2B6F429B-75C7-48D4-B873-51732B23FB93}" type="pres">
      <dgm:prSet presAssocID="{34C5EB4F-C213-4AFB-97A0-865871F44B42}" presName="fgShape" presStyleLbl="fgShp" presStyleIdx="0" presStyleCnt="1"/>
      <dgm:spPr>
        <a:solidFill>
          <a:srgbClr val="101B32"/>
        </a:solidFill>
      </dgm:spPr>
    </dgm:pt>
    <dgm:pt modelId="{7A469024-9F80-4629-9883-833F3A8025D1}" type="pres">
      <dgm:prSet presAssocID="{34C5EB4F-C213-4AFB-97A0-865871F44B42}" presName="linComp" presStyleCnt="0"/>
      <dgm:spPr/>
    </dgm:pt>
    <dgm:pt modelId="{81BE69BB-D7B6-42C2-8C62-5230C51881C9}" type="pres">
      <dgm:prSet presAssocID="{A928EEF2-E295-4094-98E6-DA57E4BE8257}" presName="compNode" presStyleCnt="0"/>
      <dgm:spPr/>
    </dgm:pt>
    <dgm:pt modelId="{008D2187-E474-4FF6-BC26-A43A1BE1F3E4}" type="pres">
      <dgm:prSet presAssocID="{A928EEF2-E295-4094-98E6-DA57E4BE8257}" presName="bkgdShape" presStyleLbl="node1" presStyleIdx="0" presStyleCnt="5" custLinFactNeighborX="-961"/>
      <dgm:spPr/>
    </dgm:pt>
    <dgm:pt modelId="{4A00647F-D330-4B7A-96C8-34932DC9218C}" type="pres">
      <dgm:prSet presAssocID="{A928EEF2-E295-4094-98E6-DA57E4BE8257}" presName="nodeTx" presStyleLbl="node1" presStyleIdx="0" presStyleCnt="5">
        <dgm:presLayoutVars>
          <dgm:bulletEnabled val="1"/>
        </dgm:presLayoutVars>
      </dgm:prSet>
      <dgm:spPr/>
    </dgm:pt>
    <dgm:pt modelId="{048A48FE-6B63-4614-A682-05571E7D4C57}" type="pres">
      <dgm:prSet presAssocID="{A928EEF2-E295-4094-98E6-DA57E4BE8257}" presName="invisiNode" presStyleLbl="node1" presStyleIdx="0" presStyleCnt="5"/>
      <dgm:spPr/>
    </dgm:pt>
    <dgm:pt modelId="{CAFCDCD3-CCAE-412E-A159-F793B0856E90}" type="pres">
      <dgm:prSet presAssocID="{A928EEF2-E295-4094-98E6-DA57E4BE8257}" presName="imagNode" presStyleLbl="fgImgPlace1" presStyleIdx="0" presStyleCnt="5"/>
      <dgm:spPr/>
    </dgm:pt>
    <dgm:pt modelId="{2E2A89BA-147B-4142-AD47-26FA917F1C77}" type="pres">
      <dgm:prSet presAssocID="{D584D3F9-D54D-4D58-9128-B4477A40B8CD}" presName="sibTrans" presStyleLbl="sibTrans2D1" presStyleIdx="0" presStyleCnt="0"/>
      <dgm:spPr/>
    </dgm:pt>
    <dgm:pt modelId="{5F56AC07-BE1F-4B95-88D9-38DFCBA61A5E}" type="pres">
      <dgm:prSet presAssocID="{8359487F-7E77-4720-942A-075C124ECD8A}" presName="compNode" presStyleCnt="0"/>
      <dgm:spPr/>
    </dgm:pt>
    <dgm:pt modelId="{24D27B3F-0FF2-458F-A8D7-3EB8B4C27551}" type="pres">
      <dgm:prSet presAssocID="{8359487F-7E77-4720-942A-075C124ECD8A}" presName="bkgdShape" presStyleLbl="node1" presStyleIdx="1" presStyleCnt="5" custAng="0"/>
      <dgm:spPr/>
    </dgm:pt>
    <dgm:pt modelId="{2C796A4E-87CB-4023-87A0-132EC76D81E9}" type="pres">
      <dgm:prSet presAssocID="{8359487F-7E77-4720-942A-075C124ECD8A}" presName="nodeTx" presStyleLbl="node1" presStyleIdx="1" presStyleCnt="5">
        <dgm:presLayoutVars>
          <dgm:bulletEnabled val="1"/>
        </dgm:presLayoutVars>
      </dgm:prSet>
      <dgm:spPr/>
    </dgm:pt>
    <dgm:pt modelId="{1FDC022C-AA29-4C65-9E1F-CA805FDB4F98}" type="pres">
      <dgm:prSet presAssocID="{8359487F-7E77-4720-942A-075C124ECD8A}" presName="invisiNode" presStyleLbl="node1" presStyleIdx="1" presStyleCnt="5"/>
      <dgm:spPr/>
    </dgm:pt>
    <dgm:pt modelId="{FB814BA4-4957-409B-988F-518ABCC1527F}" type="pres">
      <dgm:prSet presAssocID="{8359487F-7E77-4720-942A-075C124ECD8A}" presName="imagNode" presStyleLbl="fgImgPlace1" presStyleIdx="1" presStyleCnt="5"/>
      <dgm:spPr>
        <a:solidFill>
          <a:srgbClr val="101B32"/>
        </a:solidFill>
      </dgm:spPr>
    </dgm:pt>
    <dgm:pt modelId="{CEF301F6-795C-448D-BC9B-022A19AFD136}" type="pres">
      <dgm:prSet presAssocID="{54BE0BD3-A8F0-4B68-84ED-066B5A08236B}" presName="sibTrans" presStyleLbl="sibTrans2D1" presStyleIdx="0" presStyleCnt="0"/>
      <dgm:spPr/>
    </dgm:pt>
    <dgm:pt modelId="{7011E7D8-82BE-4E48-88BF-26987763D77F}" type="pres">
      <dgm:prSet presAssocID="{C6ED9E95-7952-4DB1-B806-759D74A79A31}" presName="compNode" presStyleCnt="0"/>
      <dgm:spPr/>
    </dgm:pt>
    <dgm:pt modelId="{0A4B500C-2C41-41F3-9DD6-DCEF65CD7000}" type="pres">
      <dgm:prSet presAssocID="{C6ED9E95-7952-4DB1-B806-759D74A79A31}" presName="bkgdShape" presStyleLbl="node1" presStyleIdx="2" presStyleCnt="5"/>
      <dgm:spPr/>
    </dgm:pt>
    <dgm:pt modelId="{E61C12CE-82F9-43D5-B8D1-363A70147BE4}" type="pres">
      <dgm:prSet presAssocID="{C6ED9E95-7952-4DB1-B806-759D74A79A31}" presName="nodeTx" presStyleLbl="node1" presStyleIdx="2" presStyleCnt="5">
        <dgm:presLayoutVars>
          <dgm:bulletEnabled val="1"/>
        </dgm:presLayoutVars>
      </dgm:prSet>
      <dgm:spPr/>
    </dgm:pt>
    <dgm:pt modelId="{A289D36B-464B-4320-A461-1674E256FA55}" type="pres">
      <dgm:prSet presAssocID="{C6ED9E95-7952-4DB1-B806-759D74A79A31}" presName="invisiNode" presStyleLbl="node1" presStyleIdx="2" presStyleCnt="5"/>
      <dgm:spPr/>
    </dgm:pt>
    <dgm:pt modelId="{0875B126-D660-44DD-9EB1-A72A3008AF6A}" type="pres">
      <dgm:prSet presAssocID="{C6ED9E95-7952-4DB1-B806-759D74A79A31}" presName="imagNode" presStyleLbl="fgImgPlace1" presStyleIdx="2" presStyleCnt="5"/>
      <dgm:spPr/>
    </dgm:pt>
    <dgm:pt modelId="{4C8EADD7-8428-4ED5-84A2-EA5229EAA9BD}" type="pres">
      <dgm:prSet presAssocID="{3A52A048-067E-435E-946B-8264FB222811}" presName="sibTrans" presStyleLbl="sibTrans2D1" presStyleIdx="0" presStyleCnt="0"/>
      <dgm:spPr/>
    </dgm:pt>
    <dgm:pt modelId="{69BC53C2-004E-446A-A64C-BD3AB4C4D652}" type="pres">
      <dgm:prSet presAssocID="{5FC87D4B-DF94-4949-8CBA-B5A0B386860A}" presName="compNode" presStyleCnt="0"/>
      <dgm:spPr/>
    </dgm:pt>
    <dgm:pt modelId="{19FDFEFB-BE1B-4DFE-AA80-F3B568696E5A}" type="pres">
      <dgm:prSet presAssocID="{5FC87D4B-DF94-4949-8CBA-B5A0B386860A}" presName="bkgdShape" presStyleLbl="node1" presStyleIdx="3" presStyleCnt="5"/>
      <dgm:spPr/>
    </dgm:pt>
    <dgm:pt modelId="{0AAD0DFC-D7A2-4C2D-BE98-050941396C48}" type="pres">
      <dgm:prSet presAssocID="{5FC87D4B-DF94-4949-8CBA-B5A0B386860A}" presName="nodeTx" presStyleLbl="node1" presStyleIdx="3" presStyleCnt="5">
        <dgm:presLayoutVars>
          <dgm:bulletEnabled val="1"/>
        </dgm:presLayoutVars>
      </dgm:prSet>
      <dgm:spPr/>
    </dgm:pt>
    <dgm:pt modelId="{BAA2130E-7F7D-481E-AE38-36A1D5305A16}" type="pres">
      <dgm:prSet presAssocID="{5FC87D4B-DF94-4949-8CBA-B5A0B386860A}" presName="invisiNode" presStyleLbl="node1" presStyleIdx="3" presStyleCnt="5"/>
      <dgm:spPr/>
    </dgm:pt>
    <dgm:pt modelId="{8C179DE7-B374-49FD-B11A-98150C94FF3E}" type="pres">
      <dgm:prSet presAssocID="{5FC87D4B-DF94-4949-8CBA-B5A0B386860A}" presName="imagNode" presStyleLbl="fgImgPlace1" presStyleIdx="3" presStyleCnt="5"/>
      <dgm:spPr/>
    </dgm:pt>
    <dgm:pt modelId="{D3FF319A-67FC-408E-8ABB-E4C271C22462}" type="pres">
      <dgm:prSet presAssocID="{E8D514EA-B816-49AF-A1F9-363AEC167146}" presName="sibTrans" presStyleLbl="sibTrans2D1" presStyleIdx="0" presStyleCnt="0"/>
      <dgm:spPr/>
    </dgm:pt>
    <dgm:pt modelId="{8BF88D36-5893-4EB5-9060-89C94C129CDC}" type="pres">
      <dgm:prSet presAssocID="{328999AA-7DCC-4495-BA22-4CF444473608}" presName="compNode" presStyleCnt="0"/>
      <dgm:spPr/>
    </dgm:pt>
    <dgm:pt modelId="{6551571A-D37F-475D-9931-4FC3B165DF46}" type="pres">
      <dgm:prSet presAssocID="{328999AA-7DCC-4495-BA22-4CF444473608}" presName="bkgdShape" presStyleLbl="node1" presStyleIdx="4" presStyleCnt="5"/>
      <dgm:spPr/>
    </dgm:pt>
    <dgm:pt modelId="{4597F1A0-A239-4161-BC14-7591652230FF}" type="pres">
      <dgm:prSet presAssocID="{328999AA-7DCC-4495-BA22-4CF444473608}" presName="nodeTx" presStyleLbl="node1" presStyleIdx="4" presStyleCnt="5">
        <dgm:presLayoutVars>
          <dgm:bulletEnabled val="1"/>
        </dgm:presLayoutVars>
      </dgm:prSet>
      <dgm:spPr/>
    </dgm:pt>
    <dgm:pt modelId="{58BCE032-A770-4E77-9E3F-4CD5EF1D6634}" type="pres">
      <dgm:prSet presAssocID="{328999AA-7DCC-4495-BA22-4CF444473608}" presName="invisiNode" presStyleLbl="node1" presStyleIdx="4" presStyleCnt="5"/>
      <dgm:spPr/>
    </dgm:pt>
    <dgm:pt modelId="{74DD849F-B514-44B5-BB34-61B58742FF47}" type="pres">
      <dgm:prSet presAssocID="{328999AA-7DCC-4495-BA22-4CF444473608}" presName="imagNode" presStyleLbl="fgImgPlace1" presStyleIdx="4" presStyleCnt="5"/>
      <dgm:spPr/>
    </dgm:pt>
  </dgm:ptLst>
  <dgm:cxnLst>
    <dgm:cxn modelId="{6CAE6B0E-7CBD-4770-85BE-3F0FEAF6E29D}" type="presOf" srcId="{D584D3F9-D54D-4D58-9128-B4477A40B8CD}" destId="{2E2A89BA-147B-4142-AD47-26FA917F1C77}" srcOrd="0" destOrd="0" presId="urn:microsoft.com/office/officeart/2005/8/layout/hList7"/>
    <dgm:cxn modelId="{1A70D01A-4B92-41D7-AE95-54A1E1B5CCF4}" type="presOf" srcId="{8359487F-7E77-4720-942A-075C124ECD8A}" destId="{2C796A4E-87CB-4023-87A0-132EC76D81E9}" srcOrd="1" destOrd="0" presId="urn:microsoft.com/office/officeart/2005/8/layout/hList7"/>
    <dgm:cxn modelId="{E4DA8123-8266-44A0-B3B2-AB4B7CC96CEF}" type="presOf" srcId="{328999AA-7DCC-4495-BA22-4CF444473608}" destId="{6551571A-D37F-475D-9931-4FC3B165DF46}" srcOrd="0" destOrd="0" presId="urn:microsoft.com/office/officeart/2005/8/layout/hList7"/>
    <dgm:cxn modelId="{01986E36-B6D2-4617-8B7A-73AFC67617AB}" type="presOf" srcId="{A928EEF2-E295-4094-98E6-DA57E4BE8257}" destId="{4A00647F-D330-4B7A-96C8-34932DC9218C}" srcOrd="1" destOrd="0" presId="urn:microsoft.com/office/officeart/2005/8/layout/hList7"/>
    <dgm:cxn modelId="{76AA3F40-44DC-4CA6-A321-FAD3A9D6E89D}" type="presOf" srcId="{5FC87D4B-DF94-4949-8CBA-B5A0B386860A}" destId="{0AAD0DFC-D7A2-4C2D-BE98-050941396C48}" srcOrd="1" destOrd="0" presId="urn:microsoft.com/office/officeart/2005/8/layout/hList7"/>
    <dgm:cxn modelId="{4473E640-E26C-42DE-B0DB-ABE7A4F5C57B}" type="presOf" srcId="{34C5EB4F-C213-4AFB-97A0-865871F44B42}" destId="{89B70240-AF81-463D-82D6-338A20444C06}" srcOrd="0" destOrd="0" presId="urn:microsoft.com/office/officeart/2005/8/layout/hList7"/>
    <dgm:cxn modelId="{BFC13063-18BE-4EE7-A857-71269688E84A}" type="presOf" srcId="{328999AA-7DCC-4495-BA22-4CF444473608}" destId="{4597F1A0-A239-4161-BC14-7591652230FF}" srcOrd="1" destOrd="0" presId="urn:microsoft.com/office/officeart/2005/8/layout/hList7"/>
    <dgm:cxn modelId="{A7893F6E-2718-456F-BF7C-116CC4E49900}" srcId="{34C5EB4F-C213-4AFB-97A0-865871F44B42}" destId="{328999AA-7DCC-4495-BA22-4CF444473608}" srcOrd="4" destOrd="0" parTransId="{301CB07A-E5CC-4A4F-81A1-E3CB16F142D7}" sibTransId="{81D7B3DE-4C2E-4086-ABE2-C316F5F6F0DD}"/>
    <dgm:cxn modelId="{176B594F-FBC7-47B1-B750-EA318CE41B5C}" type="presOf" srcId="{C6ED9E95-7952-4DB1-B806-759D74A79A31}" destId="{E61C12CE-82F9-43D5-B8D1-363A70147BE4}" srcOrd="1" destOrd="0" presId="urn:microsoft.com/office/officeart/2005/8/layout/hList7"/>
    <dgm:cxn modelId="{ACE64B90-CF90-41C8-9CD7-436E2D7CECCD}" type="presOf" srcId="{A928EEF2-E295-4094-98E6-DA57E4BE8257}" destId="{008D2187-E474-4FF6-BC26-A43A1BE1F3E4}" srcOrd="0" destOrd="0" presId="urn:microsoft.com/office/officeart/2005/8/layout/hList7"/>
    <dgm:cxn modelId="{09C09397-4DAB-48C5-BF43-3F11FC738070}" type="presOf" srcId="{E8D514EA-B816-49AF-A1F9-363AEC167146}" destId="{D3FF319A-67FC-408E-8ABB-E4C271C22462}" srcOrd="0" destOrd="0" presId="urn:microsoft.com/office/officeart/2005/8/layout/hList7"/>
    <dgm:cxn modelId="{86DFDABF-F356-44EE-A8EE-8FAF7B607A47}" type="presOf" srcId="{C6ED9E95-7952-4DB1-B806-759D74A79A31}" destId="{0A4B500C-2C41-41F3-9DD6-DCEF65CD7000}" srcOrd="0" destOrd="0" presId="urn:microsoft.com/office/officeart/2005/8/layout/hList7"/>
    <dgm:cxn modelId="{2AD31EC1-FB09-487D-B97F-73E046C423B1}" type="presOf" srcId="{5FC87D4B-DF94-4949-8CBA-B5A0B386860A}" destId="{19FDFEFB-BE1B-4DFE-AA80-F3B568696E5A}" srcOrd="0" destOrd="0" presId="urn:microsoft.com/office/officeart/2005/8/layout/hList7"/>
    <dgm:cxn modelId="{5B863DD5-A3C8-472F-9733-314E4A025B77}" srcId="{34C5EB4F-C213-4AFB-97A0-865871F44B42}" destId="{A928EEF2-E295-4094-98E6-DA57E4BE8257}" srcOrd="0" destOrd="0" parTransId="{AE55D60B-50E3-496E-9E99-A3E1B0244078}" sibTransId="{D584D3F9-D54D-4D58-9128-B4477A40B8CD}"/>
    <dgm:cxn modelId="{A5E5A3DA-7388-4CD4-B27F-5CAF20C4AD27}" srcId="{34C5EB4F-C213-4AFB-97A0-865871F44B42}" destId="{C6ED9E95-7952-4DB1-B806-759D74A79A31}" srcOrd="2" destOrd="0" parTransId="{D5414280-6F93-48BF-A0A1-F50168A1C63B}" sibTransId="{3A52A048-067E-435E-946B-8264FB222811}"/>
    <dgm:cxn modelId="{6A06E7DA-3F6B-4119-9EB1-4D27A8000C24}" type="presOf" srcId="{8359487F-7E77-4720-942A-075C124ECD8A}" destId="{24D27B3F-0FF2-458F-A8D7-3EB8B4C27551}" srcOrd="0" destOrd="0" presId="urn:microsoft.com/office/officeart/2005/8/layout/hList7"/>
    <dgm:cxn modelId="{A9D7EADB-1FD0-47D4-855D-CD8AE1236CB3}" srcId="{34C5EB4F-C213-4AFB-97A0-865871F44B42}" destId="{8359487F-7E77-4720-942A-075C124ECD8A}" srcOrd="1" destOrd="0" parTransId="{87279D19-CA4A-41BA-9DA4-2A7994A50857}" sibTransId="{54BE0BD3-A8F0-4B68-84ED-066B5A08236B}"/>
    <dgm:cxn modelId="{374BF5DE-BBFA-4E2A-AC80-B96C323CC64C}" type="presOf" srcId="{54BE0BD3-A8F0-4B68-84ED-066B5A08236B}" destId="{CEF301F6-795C-448D-BC9B-022A19AFD136}" srcOrd="0" destOrd="0" presId="urn:microsoft.com/office/officeart/2005/8/layout/hList7"/>
    <dgm:cxn modelId="{01757CEA-AE63-48C4-8D12-F5B3B3F67976}" type="presOf" srcId="{3A52A048-067E-435E-946B-8264FB222811}" destId="{4C8EADD7-8428-4ED5-84A2-EA5229EAA9BD}" srcOrd="0" destOrd="0" presId="urn:microsoft.com/office/officeart/2005/8/layout/hList7"/>
    <dgm:cxn modelId="{E31098EB-6453-4AC5-B562-7302D878C0B9}" srcId="{34C5EB4F-C213-4AFB-97A0-865871F44B42}" destId="{5FC87D4B-DF94-4949-8CBA-B5A0B386860A}" srcOrd="3" destOrd="0" parTransId="{583C9B39-42DD-400D-B0EA-047AC28CC255}" sibTransId="{E8D514EA-B816-49AF-A1F9-363AEC167146}"/>
    <dgm:cxn modelId="{364F0738-14B9-4280-9DA9-A55339A23780}" type="presParOf" srcId="{89B70240-AF81-463D-82D6-338A20444C06}" destId="{2B6F429B-75C7-48D4-B873-51732B23FB93}" srcOrd="0" destOrd="0" presId="urn:microsoft.com/office/officeart/2005/8/layout/hList7"/>
    <dgm:cxn modelId="{F230A12F-7E82-4A6F-95A4-053B5EFA38FE}" type="presParOf" srcId="{89B70240-AF81-463D-82D6-338A20444C06}" destId="{7A469024-9F80-4629-9883-833F3A8025D1}" srcOrd="1" destOrd="0" presId="urn:microsoft.com/office/officeart/2005/8/layout/hList7"/>
    <dgm:cxn modelId="{7D1090E1-9C45-4D05-B72E-78966392B6C2}" type="presParOf" srcId="{7A469024-9F80-4629-9883-833F3A8025D1}" destId="{81BE69BB-D7B6-42C2-8C62-5230C51881C9}" srcOrd="0" destOrd="0" presId="urn:microsoft.com/office/officeart/2005/8/layout/hList7"/>
    <dgm:cxn modelId="{97EBACEC-B045-434A-8B8E-442754117A44}" type="presParOf" srcId="{81BE69BB-D7B6-42C2-8C62-5230C51881C9}" destId="{008D2187-E474-4FF6-BC26-A43A1BE1F3E4}" srcOrd="0" destOrd="0" presId="urn:microsoft.com/office/officeart/2005/8/layout/hList7"/>
    <dgm:cxn modelId="{E56B6242-AF7A-466E-91CF-005291CE0AC1}" type="presParOf" srcId="{81BE69BB-D7B6-42C2-8C62-5230C51881C9}" destId="{4A00647F-D330-4B7A-96C8-34932DC9218C}" srcOrd="1" destOrd="0" presId="urn:microsoft.com/office/officeart/2005/8/layout/hList7"/>
    <dgm:cxn modelId="{3DFD4888-0DE9-4CCB-83D1-210F7ED44CCC}" type="presParOf" srcId="{81BE69BB-D7B6-42C2-8C62-5230C51881C9}" destId="{048A48FE-6B63-4614-A682-05571E7D4C57}" srcOrd="2" destOrd="0" presId="urn:microsoft.com/office/officeart/2005/8/layout/hList7"/>
    <dgm:cxn modelId="{AE4D85A3-F48F-4CFF-BAF6-EF5667A30E8C}" type="presParOf" srcId="{81BE69BB-D7B6-42C2-8C62-5230C51881C9}" destId="{CAFCDCD3-CCAE-412E-A159-F793B0856E90}" srcOrd="3" destOrd="0" presId="urn:microsoft.com/office/officeart/2005/8/layout/hList7"/>
    <dgm:cxn modelId="{36588500-264F-4848-B40A-F700FC868E2B}" type="presParOf" srcId="{7A469024-9F80-4629-9883-833F3A8025D1}" destId="{2E2A89BA-147B-4142-AD47-26FA917F1C77}" srcOrd="1" destOrd="0" presId="urn:microsoft.com/office/officeart/2005/8/layout/hList7"/>
    <dgm:cxn modelId="{C3809165-B201-4C2A-85E3-A4D309551FEA}" type="presParOf" srcId="{7A469024-9F80-4629-9883-833F3A8025D1}" destId="{5F56AC07-BE1F-4B95-88D9-38DFCBA61A5E}" srcOrd="2" destOrd="0" presId="urn:microsoft.com/office/officeart/2005/8/layout/hList7"/>
    <dgm:cxn modelId="{263F26E9-83A3-4DF9-A778-82EB36328B7A}" type="presParOf" srcId="{5F56AC07-BE1F-4B95-88D9-38DFCBA61A5E}" destId="{24D27B3F-0FF2-458F-A8D7-3EB8B4C27551}" srcOrd="0" destOrd="0" presId="urn:microsoft.com/office/officeart/2005/8/layout/hList7"/>
    <dgm:cxn modelId="{24D7D1AA-155A-477C-B7B2-D958ABB69528}" type="presParOf" srcId="{5F56AC07-BE1F-4B95-88D9-38DFCBA61A5E}" destId="{2C796A4E-87CB-4023-87A0-132EC76D81E9}" srcOrd="1" destOrd="0" presId="urn:microsoft.com/office/officeart/2005/8/layout/hList7"/>
    <dgm:cxn modelId="{C2E1A2A0-70BC-4A03-A269-83C084DF67F2}" type="presParOf" srcId="{5F56AC07-BE1F-4B95-88D9-38DFCBA61A5E}" destId="{1FDC022C-AA29-4C65-9E1F-CA805FDB4F98}" srcOrd="2" destOrd="0" presId="urn:microsoft.com/office/officeart/2005/8/layout/hList7"/>
    <dgm:cxn modelId="{A5BF2815-1476-4209-9B43-F9F501E406DE}" type="presParOf" srcId="{5F56AC07-BE1F-4B95-88D9-38DFCBA61A5E}" destId="{FB814BA4-4957-409B-988F-518ABCC1527F}" srcOrd="3" destOrd="0" presId="urn:microsoft.com/office/officeart/2005/8/layout/hList7"/>
    <dgm:cxn modelId="{C9BAACB7-8AF4-487F-A99D-C939598DAEB2}" type="presParOf" srcId="{7A469024-9F80-4629-9883-833F3A8025D1}" destId="{CEF301F6-795C-448D-BC9B-022A19AFD136}" srcOrd="3" destOrd="0" presId="urn:microsoft.com/office/officeart/2005/8/layout/hList7"/>
    <dgm:cxn modelId="{43D558DA-7237-4DFB-B642-F3C9C45AB79D}" type="presParOf" srcId="{7A469024-9F80-4629-9883-833F3A8025D1}" destId="{7011E7D8-82BE-4E48-88BF-26987763D77F}" srcOrd="4" destOrd="0" presId="urn:microsoft.com/office/officeart/2005/8/layout/hList7"/>
    <dgm:cxn modelId="{6BD83A64-56DF-4973-B017-2201D8BEBBF6}" type="presParOf" srcId="{7011E7D8-82BE-4E48-88BF-26987763D77F}" destId="{0A4B500C-2C41-41F3-9DD6-DCEF65CD7000}" srcOrd="0" destOrd="0" presId="urn:microsoft.com/office/officeart/2005/8/layout/hList7"/>
    <dgm:cxn modelId="{2A49EF33-A7D5-42EA-8700-A3AC181A5806}" type="presParOf" srcId="{7011E7D8-82BE-4E48-88BF-26987763D77F}" destId="{E61C12CE-82F9-43D5-B8D1-363A70147BE4}" srcOrd="1" destOrd="0" presId="urn:microsoft.com/office/officeart/2005/8/layout/hList7"/>
    <dgm:cxn modelId="{16EF5640-2000-40D6-9833-7A0512231C77}" type="presParOf" srcId="{7011E7D8-82BE-4E48-88BF-26987763D77F}" destId="{A289D36B-464B-4320-A461-1674E256FA55}" srcOrd="2" destOrd="0" presId="urn:microsoft.com/office/officeart/2005/8/layout/hList7"/>
    <dgm:cxn modelId="{29696D23-532E-42A2-B41F-797F84F4915D}" type="presParOf" srcId="{7011E7D8-82BE-4E48-88BF-26987763D77F}" destId="{0875B126-D660-44DD-9EB1-A72A3008AF6A}" srcOrd="3" destOrd="0" presId="urn:microsoft.com/office/officeart/2005/8/layout/hList7"/>
    <dgm:cxn modelId="{1BA17A1A-BFE6-4F5C-AB82-631425335AE9}" type="presParOf" srcId="{7A469024-9F80-4629-9883-833F3A8025D1}" destId="{4C8EADD7-8428-4ED5-84A2-EA5229EAA9BD}" srcOrd="5" destOrd="0" presId="urn:microsoft.com/office/officeart/2005/8/layout/hList7"/>
    <dgm:cxn modelId="{0738F974-0280-484C-A0C7-2DF662CB9FFA}" type="presParOf" srcId="{7A469024-9F80-4629-9883-833F3A8025D1}" destId="{69BC53C2-004E-446A-A64C-BD3AB4C4D652}" srcOrd="6" destOrd="0" presId="urn:microsoft.com/office/officeart/2005/8/layout/hList7"/>
    <dgm:cxn modelId="{A6625E68-6F56-498C-9973-D6CAF55BA095}" type="presParOf" srcId="{69BC53C2-004E-446A-A64C-BD3AB4C4D652}" destId="{19FDFEFB-BE1B-4DFE-AA80-F3B568696E5A}" srcOrd="0" destOrd="0" presId="urn:microsoft.com/office/officeart/2005/8/layout/hList7"/>
    <dgm:cxn modelId="{4256B6DF-6E96-4421-8C50-9DC3A9A380DE}" type="presParOf" srcId="{69BC53C2-004E-446A-A64C-BD3AB4C4D652}" destId="{0AAD0DFC-D7A2-4C2D-BE98-050941396C48}" srcOrd="1" destOrd="0" presId="urn:microsoft.com/office/officeart/2005/8/layout/hList7"/>
    <dgm:cxn modelId="{15F25155-9052-4C4A-AF58-C0B5D78CC1C4}" type="presParOf" srcId="{69BC53C2-004E-446A-A64C-BD3AB4C4D652}" destId="{BAA2130E-7F7D-481E-AE38-36A1D5305A16}" srcOrd="2" destOrd="0" presId="urn:microsoft.com/office/officeart/2005/8/layout/hList7"/>
    <dgm:cxn modelId="{82EE7FF2-7841-49A8-874E-DCBA014EFBB9}" type="presParOf" srcId="{69BC53C2-004E-446A-A64C-BD3AB4C4D652}" destId="{8C179DE7-B374-49FD-B11A-98150C94FF3E}" srcOrd="3" destOrd="0" presId="urn:microsoft.com/office/officeart/2005/8/layout/hList7"/>
    <dgm:cxn modelId="{72D91864-8FEA-4C0C-BE12-6328F1B160F3}" type="presParOf" srcId="{7A469024-9F80-4629-9883-833F3A8025D1}" destId="{D3FF319A-67FC-408E-8ABB-E4C271C22462}" srcOrd="7" destOrd="0" presId="urn:microsoft.com/office/officeart/2005/8/layout/hList7"/>
    <dgm:cxn modelId="{6BBCFB4B-2B68-4045-90CC-C91553B749D2}" type="presParOf" srcId="{7A469024-9F80-4629-9883-833F3A8025D1}" destId="{8BF88D36-5893-4EB5-9060-89C94C129CDC}" srcOrd="8" destOrd="0" presId="urn:microsoft.com/office/officeart/2005/8/layout/hList7"/>
    <dgm:cxn modelId="{72742A6E-32CF-4CBD-9C17-1B5238BC1A27}" type="presParOf" srcId="{8BF88D36-5893-4EB5-9060-89C94C129CDC}" destId="{6551571A-D37F-475D-9931-4FC3B165DF46}" srcOrd="0" destOrd="0" presId="urn:microsoft.com/office/officeart/2005/8/layout/hList7"/>
    <dgm:cxn modelId="{F45F849F-0E84-41CA-8652-0CF6752E7C27}" type="presParOf" srcId="{8BF88D36-5893-4EB5-9060-89C94C129CDC}" destId="{4597F1A0-A239-4161-BC14-7591652230FF}" srcOrd="1" destOrd="0" presId="urn:microsoft.com/office/officeart/2005/8/layout/hList7"/>
    <dgm:cxn modelId="{380CCA44-7749-45F7-AD33-C79A57B52501}" type="presParOf" srcId="{8BF88D36-5893-4EB5-9060-89C94C129CDC}" destId="{58BCE032-A770-4E77-9E3F-4CD5EF1D6634}" srcOrd="2" destOrd="0" presId="urn:microsoft.com/office/officeart/2005/8/layout/hList7"/>
    <dgm:cxn modelId="{7CCC8CEE-3EB9-4874-9FF7-1939187C95C6}" type="presParOf" srcId="{8BF88D36-5893-4EB5-9060-89C94C129CDC}" destId="{74DD849F-B514-44B5-BB34-61B58742FF47}" srcOrd="3" destOrd="0" presId="urn:microsoft.com/office/officeart/2005/8/layout/hList7"/>
  </dgm:cxnLst>
  <dgm:bg/>
  <dgm:whole/>
  <dgm:extLst>
    <a:ext uri="http://schemas.microsoft.com/office/drawing/2008/diagram">
      <dsp:dataModelExt xmlns:dsp="http://schemas.microsoft.com/office/drawing/2008/diagram" relId="rId2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08D2187-E474-4FF6-BC26-A43A1BE1F3E4}">
      <dsp:nvSpPr>
        <dsp:cNvPr id="0" name=""/>
        <dsp:cNvSpPr/>
      </dsp:nvSpPr>
      <dsp:spPr>
        <a:xfrm>
          <a:off x="0" y="0"/>
          <a:ext cx="1033115" cy="1709737"/>
        </a:xfrm>
        <a:prstGeom prst="roundRect">
          <a:avLst>
            <a:gd name="adj" fmla="val 10000"/>
          </a:avLst>
        </a:prstGeom>
        <a:solidFill>
          <a:srgbClr val="0070C0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kern="1200"/>
            <a:t>Contas Cadastradas</a:t>
          </a:r>
        </a:p>
      </dsp:txBody>
      <dsp:txXfrm>
        <a:off x="0" y="683894"/>
        <a:ext cx="1033115" cy="683894"/>
      </dsp:txXfrm>
    </dsp:sp>
    <dsp:sp modelId="{CAFCDCD3-CCAE-412E-A159-F793B0856E90}">
      <dsp:nvSpPr>
        <dsp:cNvPr id="0" name=""/>
        <dsp:cNvSpPr/>
      </dsp:nvSpPr>
      <dsp:spPr>
        <a:xfrm>
          <a:off x="231886" y="102584"/>
          <a:ext cx="569342" cy="569342"/>
        </a:xfrm>
        <a:prstGeom prst="ellipse">
          <a:avLst/>
        </a:prstGeom>
        <a:solidFill>
          <a:schemeClr val="accent3">
            <a:tint val="5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4D27B3F-0FF2-458F-A8D7-3EB8B4C27551}">
      <dsp:nvSpPr>
        <dsp:cNvPr id="0" name=""/>
        <dsp:cNvSpPr/>
      </dsp:nvSpPr>
      <dsp:spPr>
        <a:xfrm>
          <a:off x="1064108" y="0"/>
          <a:ext cx="1033115" cy="1709737"/>
        </a:xfrm>
        <a:prstGeom prst="roundRect">
          <a:avLst>
            <a:gd name="adj" fmla="val 10000"/>
          </a:avLst>
        </a:prstGeom>
        <a:solidFill>
          <a:schemeClr val="accent6">
            <a:lumMod val="7500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kern="1200"/>
            <a:t>Contas    Ativas</a:t>
          </a:r>
        </a:p>
      </dsp:txBody>
      <dsp:txXfrm>
        <a:off x="1064108" y="683894"/>
        <a:ext cx="1033115" cy="683894"/>
      </dsp:txXfrm>
    </dsp:sp>
    <dsp:sp modelId="{FB814BA4-4957-409B-988F-518ABCC1527F}">
      <dsp:nvSpPr>
        <dsp:cNvPr id="0" name=""/>
        <dsp:cNvSpPr/>
      </dsp:nvSpPr>
      <dsp:spPr>
        <a:xfrm>
          <a:off x="1295995" y="102584"/>
          <a:ext cx="569342" cy="569342"/>
        </a:xfrm>
        <a:prstGeom prst="ellipse">
          <a:avLst/>
        </a:prstGeom>
        <a:solidFill>
          <a:srgbClr val="101B32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A4B500C-2C41-41F3-9DD6-DCEF65CD7000}">
      <dsp:nvSpPr>
        <dsp:cNvPr id="0" name=""/>
        <dsp:cNvSpPr/>
      </dsp:nvSpPr>
      <dsp:spPr>
        <a:xfrm>
          <a:off x="2128217" y="0"/>
          <a:ext cx="1033115" cy="1709737"/>
        </a:xfrm>
        <a:prstGeom prst="roundRect">
          <a:avLst>
            <a:gd name="adj" fmla="val 10000"/>
          </a:avLst>
        </a:prstGeom>
        <a:solidFill>
          <a:srgbClr val="C00000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i="0" kern="1200"/>
            <a:t>Contas Bloqueadas</a:t>
          </a:r>
        </a:p>
      </dsp:txBody>
      <dsp:txXfrm>
        <a:off x="2128217" y="683894"/>
        <a:ext cx="1033115" cy="683894"/>
      </dsp:txXfrm>
    </dsp:sp>
    <dsp:sp modelId="{0875B126-D660-44DD-9EB1-A72A3008AF6A}">
      <dsp:nvSpPr>
        <dsp:cNvPr id="0" name=""/>
        <dsp:cNvSpPr/>
      </dsp:nvSpPr>
      <dsp:spPr>
        <a:xfrm>
          <a:off x="2360104" y="102584"/>
          <a:ext cx="569342" cy="569342"/>
        </a:xfrm>
        <a:prstGeom prst="ellipse">
          <a:avLst/>
        </a:prstGeom>
        <a:solidFill>
          <a:schemeClr val="accent3">
            <a:tint val="50000"/>
            <a:hueOff val="1037118"/>
            <a:satOff val="50000"/>
            <a:lumOff val="991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19FDFEFB-BE1B-4DFE-AA80-F3B568696E5A}">
      <dsp:nvSpPr>
        <dsp:cNvPr id="0" name=""/>
        <dsp:cNvSpPr/>
      </dsp:nvSpPr>
      <dsp:spPr>
        <a:xfrm>
          <a:off x="3192326" y="0"/>
          <a:ext cx="1033115" cy="1709737"/>
        </a:xfrm>
        <a:prstGeom prst="roundRect">
          <a:avLst>
            <a:gd name="adj" fmla="val 10000"/>
          </a:avLst>
        </a:prstGeom>
        <a:solidFill>
          <a:schemeClr val="tx1">
            <a:lumMod val="65000"/>
            <a:lumOff val="3500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i="0" kern="1200"/>
            <a:t>Produtos Cadastrados</a:t>
          </a:r>
        </a:p>
      </dsp:txBody>
      <dsp:txXfrm>
        <a:off x="3192326" y="683894"/>
        <a:ext cx="1033115" cy="683894"/>
      </dsp:txXfrm>
    </dsp:sp>
    <dsp:sp modelId="{8C179DE7-B374-49FD-B11A-98150C94FF3E}">
      <dsp:nvSpPr>
        <dsp:cNvPr id="0" name=""/>
        <dsp:cNvSpPr/>
      </dsp:nvSpPr>
      <dsp:spPr>
        <a:xfrm>
          <a:off x="3424213" y="102584"/>
          <a:ext cx="569342" cy="569342"/>
        </a:xfrm>
        <a:prstGeom prst="ellipse">
          <a:avLst/>
        </a:prstGeom>
        <a:solidFill>
          <a:schemeClr val="accent3">
            <a:tint val="50000"/>
            <a:hueOff val="1555677"/>
            <a:satOff val="75000"/>
            <a:lumOff val="1487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6551571A-D37F-475D-9931-4FC3B165DF46}">
      <dsp:nvSpPr>
        <dsp:cNvPr id="0" name=""/>
        <dsp:cNvSpPr/>
      </dsp:nvSpPr>
      <dsp:spPr>
        <a:xfrm>
          <a:off x="4256435" y="0"/>
          <a:ext cx="1033115" cy="1709737"/>
        </a:xfrm>
        <a:prstGeom prst="roundRect">
          <a:avLst>
            <a:gd name="adj" fmla="val 10000"/>
          </a:avLst>
        </a:prstGeom>
        <a:solidFill>
          <a:schemeClr val="accent4">
            <a:lumMod val="7500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i="0" kern="1200"/>
            <a:t>Compras Efetuadas</a:t>
          </a:r>
        </a:p>
      </dsp:txBody>
      <dsp:txXfrm>
        <a:off x="4256435" y="683894"/>
        <a:ext cx="1033115" cy="683894"/>
      </dsp:txXfrm>
    </dsp:sp>
    <dsp:sp modelId="{74DD849F-B514-44B5-BB34-61B58742FF47}">
      <dsp:nvSpPr>
        <dsp:cNvPr id="0" name=""/>
        <dsp:cNvSpPr/>
      </dsp:nvSpPr>
      <dsp:spPr>
        <a:xfrm>
          <a:off x="4488322" y="102584"/>
          <a:ext cx="569342" cy="569342"/>
        </a:xfrm>
        <a:prstGeom prst="ellipse">
          <a:avLst/>
        </a:prstGeom>
        <a:solidFill>
          <a:schemeClr val="accent3">
            <a:tint val="50000"/>
            <a:hueOff val="2074236"/>
            <a:satOff val="100000"/>
            <a:lumOff val="198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6F429B-75C7-48D4-B873-51732B23FB93}">
      <dsp:nvSpPr>
        <dsp:cNvPr id="0" name=""/>
        <dsp:cNvSpPr/>
      </dsp:nvSpPr>
      <dsp:spPr>
        <a:xfrm>
          <a:off x="211582" y="1367789"/>
          <a:ext cx="4866386" cy="256460"/>
        </a:xfrm>
        <a:prstGeom prst="leftRightArrow">
          <a:avLst/>
        </a:prstGeom>
        <a:solidFill>
          <a:srgbClr val="101B32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List7">
  <dgm:title val=""/>
  <dgm:desc val=""/>
  <dgm:catLst>
    <dgm:cat type="list" pri="12000"/>
    <dgm:cat type="process" pri="20000"/>
    <dgm:cat type="relationship" pri="14000"/>
    <dgm:cat type="convert" pri="8000"/>
    <dgm:cat type="picture" pri="25000"/>
    <dgm:cat type="pictureconvert" pri="2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alg type="composite"/>
    <dgm:shape xmlns:r="http://schemas.openxmlformats.org/officeDocument/2006/relationships" r:blip="">
      <dgm:adjLst/>
    </dgm:shape>
    <dgm:presOf/>
    <dgm:constrLst>
      <dgm:constr type="w" for="ch" forName="fgShape" refType="w" fact="0.92"/>
      <dgm:constr type="h" for="ch" forName="fgShape" refType="h" fact="0.15"/>
      <dgm:constr type="b" for="ch" forName="fgShape" refType="h" fact="0.95"/>
      <dgm:constr type="ctrX" for="ch" forName="fgShape" refType="w" fact="0.5"/>
      <dgm:constr type="w" for="ch" forName="linComp" refType="w"/>
      <dgm:constr type="h" for="ch" forName="linComp" refType="h"/>
      <dgm:constr type="ctrX" for="ch" forName="linComp" refType="w" fact="0.5"/>
    </dgm:constrLst>
    <dgm:ruleLst/>
    <dgm:layoutNode name="fgShape" styleLbl="fgShp">
      <dgm:alg type="sp"/>
      <dgm:shape xmlns:r="http://schemas.openxmlformats.org/officeDocument/2006/relationships" type="leftRightArrow" r:blip="" zOrderOff="99999">
        <dgm:adjLst/>
      </dgm:shape>
      <dgm:presOf/>
      <dgm:constrLst/>
      <dgm:ruleLst/>
    </dgm:layoutNode>
    <dgm:layoutNode name="linComp">
      <dgm:choose name="Name1">
        <dgm:if name="Name2" func="var" arg="dir" op="equ" val="norm">
          <dgm:alg type="lin"/>
        </dgm:if>
        <dgm:else name="Name3">
          <dgm:alg type="lin">
            <dgm:param type="linDir" val="fromR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w" for="ch" forName="compNode" refType="w"/>
        <dgm:constr type="h" for="ch" forName="compNode" refType="h"/>
        <dgm:constr type="w" for="ch" ptType="sibTrans" refType="w" refFor="ch" refForName="compNode" fact="0.03"/>
        <dgm:constr type="primFontSz" for="des" ptType="node" op="equ" val="65"/>
      </dgm:constrLst>
      <dgm:ruleLst/>
      <dgm:forEach name="nodesForEach" axis="ch" ptType="node">
        <dgm:layoutNode name="compNode">
          <dgm:alg type="composite"/>
          <dgm:shape xmlns:r="http://schemas.openxmlformats.org/officeDocument/2006/relationships" r:blip="">
            <dgm:adjLst/>
          </dgm:shape>
          <dgm:presOf/>
          <dgm:constrLst>
            <dgm:constr type="w" for="ch" forName="bkgdShape" refType="w"/>
            <dgm:constr type="h" for="ch" forName="bkgdShape" refType="h"/>
            <dgm:constr type="w" for="ch" forName="nodeTx" refType="w"/>
            <dgm:constr type="h" for="ch" forName="nodeTx" refType="h" fact="0.4"/>
            <dgm:constr type="b" for="ch" forName="nodeTx" refType="h" fact="0.8"/>
            <dgm:constr type="w" for="ch" forName="invisiNode" refType="w" fact="0.01"/>
            <dgm:constr type="h" for="ch" forName="invisiNode" refType="h" fact="0.06"/>
            <dgm:constr type="t" for="ch" forName="invisiNode"/>
            <dgm:constr type="ctrX" for="ch" forName="invisiNode" refType="w" fact="0.5"/>
            <dgm:constr type="h" for="ch" forName="imagNode" refType="h" fact="0.333"/>
            <dgm:constr type="w" for="ch" forName="imagNode" refType="h" refFor="ch" refForName="imagNode"/>
            <dgm:constr type="ctrX" for="ch" forName="imagNode" refType="w" fact="0.5"/>
            <dgm:constr type="t" for="ch" forName="imagNode" refType="h" fact="0.06"/>
            <dgm:constr type="w" for="ch" forName="imagNode" refType="w" op="lte" fact="0.94"/>
          </dgm:constrLst>
          <dgm:ruleLst/>
          <dgm:layoutNode name="bkgdShape">
            <dgm:alg type="sp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OrSelf" ptType="node"/>
            <dgm:constrLst/>
            <dgm:ruleLst/>
          </dgm:layoutNode>
          <dgm:layoutNode name="nodeTx">
            <dgm:varLst>
              <dgm:bulletEnabled val="1"/>
            </dgm:varLst>
            <dgm:alg type="tx">
              <dgm:param type="txAnchorVert" val="mid"/>
              <dgm:param type="txAnchorHorzCh" val="ctr"/>
              <dgm:param type="stBulletLvl" val="2"/>
            </dgm:alg>
            <dgm:shape xmlns:r="http://schemas.openxmlformats.org/officeDocument/2006/relationships" type="rect" r:blip="" hideGeom="1">
              <dgm:adjLst/>
            </dgm:shape>
            <dgm:presOf axis="desOrSelf" ptType="node"/>
            <dgm:constrLst/>
            <dgm:ruleLst>
              <dgm:rule type="primFontSz" val="5" fact="NaN" max="NaN"/>
            </dgm:ruleLst>
          </dgm:layoutNode>
          <dgm:layoutNode name="invisiNode">
            <dgm:alg type="sp"/>
            <dgm:shape xmlns:r="http://schemas.openxmlformats.org/officeDocument/2006/relationships" type="roundRect" r:blip="" hideGeom="1">
              <dgm:adjLst>
                <dgm:adj idx="1" val="0.1"/>
              </dgm:adjLst>
            </dgm:shape>
            <dgm:presOf/>
            <dgm:constrLst/>
            <dgm:ruleLst/>
          </dgm:layoutNode>
          <dgm:layoutNode name="imagNode" styleLbl="fgImgPlace1">
            <dgm:alg type="sp"/>
            <dgm:shape xmlns:r="http://schemas.openxmlformats.org/officeDocument/2006/relationships" type="ellipse" r:blip="" blipPhldr="1">
              <dgm:adjLst/>
            </dgm:shape>
            <dgm:presOf/>
            <dgm:constrLst/>
            <dgm:ruleLst/>
          </dgm:layoutNode>
        </dgm:layoutNode>
        <dgm:forEach name="sibTransForEach" axis="followSib" ptType="sibTrans" cnt="1">
          <dgm:layoutNode name="sibTrans">
            <dgm:alg type="sp"/>
            <dgm:shape xmlns:r="http://schemas.openxmlformats.org/officeDocument/2006/relationships" type="rect" r:blip="" hideGeom="1">
              <dgm:adjLst/>
            </dgm:shape>
            <dgm:presOf axis="self"/>
            <dgm:constrLst/>
            <dgm:ruleLst/>
          </dgm:layoutNode>
        </dgm:forEach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0.png"/><Relationship Id="rId18" Type="http://schemas.openxmlformats.org/officeDocument/2006/relationships/diagramQuickStyle" Target="../diagrams/quickStyle1.xml"/><Relationship Id="rId3" Type="http://schemas.openxmlformats.org/officeDocument/2006/relationships/image" Target="../media/image3.svg"/><Relationship Id="rId21" Type="http://schemas.openxmlformats.org/officeDocument/2006/relationships/image" Target="../media/image13.png"/><Relationship Id="rId7" Type="http://schemas.openxmlformats.org/officeDocument/2006/relationships/hyperlink" Target="#PEDIDOS!A1"/><Relationship Id="rId12" Type="http://schemas.openxmlformats.org/officeDocument/2006/relationships/image" Target="../media/image9.svg"/><Relationship Id="rId17" Type="http://schemas.openxmlformats.org/officeDocument/2006/relationships/diagramLayout" Target="../diagrams/layout1.xml"/><Relationship Id="rId2" Type="http://schemas.openxmlformats.org/officeDocument/2006/relationships/image" Target="../media/image2.png"/><Relationship Id="rId16" Type="http://schemas.openxmlformats.org/officeDocument/2006/relationships/diagramData" Target="../diagrams/data1.xml"/><Relationship Id="rId20" Type="http://schemas.microsoft.com/office/2007/relationships/diagramDrawing" Target="../diagrams/drawing1.xml"/><Relationship Id="rId1" Type="http://schemas.openxmlformats.org/officeDocument/2006/relationships/hyperlink" Target="#OPERACIONAL!A1"/><Relationship Id="rId6" Type="http://schemas.openxmlformats.org/officeDocument/2006/relationships/image" Target="../media/image5.svg"/><Relationship Id="rId11" Type="http://schemas.openxmlformats.org/officeDocument/2006/relationships/image" Target="../media/image8.png"/><Relationship Id="rId5" Type="http://schemas.openxmlformats.org/officeDocument/2006/relationships/image" Target="../media/image4.png"/><Relationship Id="rId15" Type="http://schemas.openxmlformats.org/officeDocument/2006/relationships/image" Target="../media/image12.png"/><Relationship Id="rId10" Type="http://schemas.openxmlformats.org/officeDocument/2006/relationships/hyperlink" Target="#ENCERRAR!A1"/><Relationship Id="rId19" Type="http://schemas.openxmlformats.org/officeDocument/2006/relationships/diagramColors" Target="../diagrams/colors1.xml"/><Relationship Id="rId4" Type="http://schemas.openxmlformats.org/officeDocument/2006/relationships/hyperlink" Target="#CONTAS!A1"/><Relationship Id="rId9" Type="http://schemas.openxmlformats.org/officeDocument/2006/relationships/image" Target="../media/image7.svg"/><Relationship Id="rId14" Type="http://schemas.openxmlformats.org/officeDocument/2006/relationships/image" Target="../media/image1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8.png"/><Relationship Id="rId3" Type="http://schemas.openxmlformats.org/officeDocument/2006/relationships/image" Target="../media/image15.svg"/><Relationship Id="rId7" Type="http://schemas.openxmlformats.org/officeDocument/2006/relationships/hyperlink" Target="#ENCERRAR!A1"/><Relationship Id="rId12" Type="http://schemas.openxmlformats.org/officeDocument/2006/relationships/image" Target="../media/image17.svg"/><Relationship Id="rId17" Type="http://schemas.openxmlformats.org/officeDocument/2006/relationships/image" Target="../media/image11.jpeg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1" Type="http://schemas.openxmlformats.org/officeDocument/2006/relationships/hyperlink" Target="#CONTAS!A1"/><Relationship Id="rId6" Type="http://schemas.openxmlformats.org/officeDocument/2006/relationships/image" Target="../media/image7.svg"/><Relationship Id="rId11" Type="http://schemas.openxmlformats.org/officeDocument/2006/relationships/image" Target="../media/image16.png"/><Relationship Id="rId5" Type="http://schemas.openxmlformats.org/officeDocument/2006/relationships/image" Target="../media/image6.png"/><Relationship Id="rId15" Type="http://schemas.openxmlformats.org/officeDocument/2006/relationships/image" Target="../media/image20.png"/><Relationship Id="rId10" Type="http://schemas.openxmlformats.org/officeDocument/2006/relationships/hyperlink" Target="#FINANCEIRO!A1"/><Relationship Id="rId4" Type="http://schemas.openxmlformats.org/officeDocument/2006/relationships/hyperlink" Target="#PEDIDOS!A1"/><Relationship Id="rId9" Type="http://schemas.openxmlformats.org/officeDocument/2006/relationships/image" Target="../media/image9.svg"/><Relationship Id="rId1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26.svg"/><Relationship Id="rId3" Type="http://schemas.openxmlformats.org/officeDocument/2006/relationships/image" Target="../media/image15.svg"/><Relationship Id="rId7" Type="http://schemas.openxmlformats.org/officeDocument/2006/relationships/hyperlink" Target="#OPERACIONAL!A1"/><Relationship Id="rId12" Type="http://schemas.openxmlformats.org/officeDocument/2006/relationships/image" Target="../media/image25.png"/><Relationship Id="rId2" Type="http://schemas.openxmlformats.org/officeDocument/2006/relationships/image" Target="../media/image14.png"/><Relationship Id="rId1" Type="http://schemas.openxmlformats.org/officeDocument/2006/relationships/hyperlink" Target="#CONTAS!A1"/><Relationship Id="rId6" Type="http://schemas.openxmlformats.org/officeDocument/2006/relationships/image" Target="../media/image22.svg"/><Relationship Id="rId11" Type="http://schemas.openxmlformats.org/officeDocument/2006/relationships/hyperlink" Target="#PEDIDOS!A1"/><Relationship Id="rId5" Type="http://schemas.openxmlformats.org/officeDocument/2006/relationships/image" Target="../media/image8.png"/><Relationship Id="rId15" Type="http://schemas.openxmlformats.org/officeDocument/2006/relationships/image" Target="../media/image28.png"/><Relationship Id="rId10" Type="http://schemas.openxmlformats.org/officeDocument/2006/relationships/image" Target="../media/image11.jpeg"/><Relationship Id="rId4" Type="http://schemas.openxmlformats.org/officeDocument/2006/relationships/hyperlink" Target="#ENCERRAR!A1"/><Relationship Id="rId9" Type="http://schemas.openxmlformats.org/officeDocument/2006/relationships/image" Target="../media/image24.svg"/><Relationship Id="rId14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PEDIDOS!A1"/><Relationship Id="rId13" Type="http://schemas.openxmlformats.org/officeDocument/2006/relationships/hyperlink" Target="#ENCERRAR!A1"/><Relationship Id="rId3" Type="http://schemas.openxmlformats.org/officeDocument/2006/relationships/image" Target="../media/image15.svg"/><Relationship Id="rId7" Type="http://schemas.openxmlformats.org/officeDocument/2006/relationships/image" Target="../media/image11.jpeg"/><Relationship Id="rId12" Type="http://schemas.openxmlformats.org/officeDocument/2006/relationships/image" Target="../media/image32.png"/><Relationship Id="rId2" Type="http://schemas.openxmlformats.org/officeDocument/2006/relationships/image" Target="../media/image14.png"/><Relationship Id="rId1" Type="http://schemas.openxmlformats.org/officeDocument/2006/relationships/hyperlink" Target="#CONTAS!A1"/><Relationship Id="rId6" Type="http://schemas.openxmlformats.org/officeDocument/2006/relationships/image" Target="../media/image24.svg"/><Relationship Id="rId11" Type="http://schemas.openxmlformats.org/officeDocument/2006/relationships/image" Target="../media/image31.png"/><Relationship Id="rId5" Type="http://schemas.openxmlformats.org/officeDocument/2006/relationships/image" Target="../media/image23.png"/><Relationship Id="rId15" Type="http://schemas.openxmlformats.org/officeDocument/2006/relationships/image" Target="../media/image34.svg"/><Relationship Id="rId10" Type="http://schemas.openxmlformats.org/officeDocument/2006/relationships/image" Target="../media/image30.svg"/><Relationship Id="rId4" Type="http://schemas.openxmlformats.org/officeDocument/2006/relationships/hyperlink" Target="#OPERACIONAL!A1"/><Relationship Id="rId9" Type="http://schemas.openxmlformats.org/officeDocument/2006/relationships/image" Target="../media/image29.png"/><Relationship Id="rId14" Type="http://schemas.openxmlformats.org/officeDocument/2006/relationships/image" Target="../media/image3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svg"/><Relationship Id="rId2" Type="http://schemas.openxmlformats.org/officeDocument/2006/relationships/image" Target="../media/image37.png"/><Relationship Id="rId1" Type="http://schemas.openxmlformats.org/officeDocument/2006/relationships/image" Target="../media/image36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svg"/><Relationship Id="rId2" Type="http://schemas.openxmlformats.org/officeDocument/2006/relationships/image" Target="../media/image37.png"/><Relationship Id="rId1" Type="http://schemas.openxmlformats.org/officeDocument/2006/relationships/image" Target="../media/image36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svg"/><Relationship Id="rId2" Type="http://schemas.openxmlformats.org/officeDocument/2006/relationships/image" Target="../media/image37.png"/><Relationship Id="rId1" Type="http://schemas.openxmlformats.org/officeDocument/2006/relationships/image" Target="../media/image36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0.svg"/><Relationship Id="rId1" Type="http://schemas.openxmlformats.org/officeDocument/2006/relationships/image" Target="../media/image3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svg"/><Relationship Id="rId2" Type="http://schemas.openxmlformats.org/officeDocument/2006/relationships/image" Target="../media/image43.png"/><Relationship Id="rId1" Type="http://schemas.openxmlformats.org/officeDocument/2006/relationships/image" Target="../media/image4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6</xdr:row>
      <xdr:rowOff>57150</xdr:rowOff>
    </xdr:from>
    <xdr:to>
      <xdr:col>12</xdr:col>
      <xdr:colOff>247650</xdr:colOff>
      <xdr:row>32</xdr:row>
      <xdr:rowOff>38100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23826" y="1172936"/>
          <a:ext cx="7371895" cy="4698093"/>
          <a:chOff x="-515501" y="923925"/>
          <a:chExt cx="13821512" cy="5534025"/>
        </a:xfrm>
        <a:solidFill>
          <a:schemeClr val="bg1">
            <a:lumMod val="85000"/>
          </a:schemeClr>
        </a:solidFill>
      </xdr:grpSpPr>
      <xdr:sp macro="" textlink="">
        <xdr:nvSpPr>
          <xdr:cNvPr id="15" name="Retângulo: Cantos Superiores Arredondados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8575" y="923925"/>
            <a:ext cx="13277436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19" name="Retângulo: Cantos Superiores Arredondados 1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 rot="10800000">
            <a:off x="-515501" y="3455194"/>
            <a:ext cx="13821511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171452</xdr:rowOff>
    </xdr:from>
    <xdr:to>
      <xdr:col>2</xdr:col>
      <xdr:colOff>66675</xdr:colOff>
      <xdr:row>35</xdr:row>
      <xdr:rowOff>72572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5400000">
          <a:off x="-2352901" y="2896282"/>
          <a:ext cx="5906405" cy="1200604"/>
        </a:xfrm>
        <a:prstGeom prst="round2SameRect">
          <a:avLst>
            <a:gd name="adj1" fmla="val 50000"/>
            <a:gd name="adj2" fmla="val 0"/>
          </a:avLst>
        </a:prstGeom>
        <a:solidFill>
          <a:srgbClr val="101B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342900</xdr:colOff>
      <xdr:row>13</xdr:row>
      <xdr:rowOff>140475</xdr:rowOff>
    </xdr:from>
    <xdr:to>
      <xdr:col>1</xdr:col>
      <xdr:colOff>348075</xdr:colOff>
      <xdr:row>16</xdr:row>
      <xdr:rowOff>78975</xdr:rowOff>
    </xdr:to>
    <xdr:pic>
      <xdr:nvPicPr>
        <xdr:cNvPr id="9" name="Gráfico 8" descr="Gráfico de barras com tendência descendent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42900" y="2616975"/>
          <a:ext cx="510000" cy="51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161926</xdr:rowOff>
    </xdr:from>
    <xdr:to>
      <xdr:col>3</xdr:col>
      <xdr:colOff>85725</xdr:colOff>
      <xdr:row>10</xdr:row>
      <xdr:rowOff>161926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09550" y="1495426"/>
          <a:ext cx="1600200" cy="571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>
    <xdr:from>
      <xdr:col>0</xdr:col>
      <xdr:colOff>371475</xdr:colOff>
      <xdr:row>7</xdr:row>
      <xdr:rowOff>152400</xdr:rowOff>
    </xdr:from>
    <xdr:to>
      <xdr:col>1</xdr:col>
      <xdr:colOff>430213</xdr:colOff>
      <xdr:row>10</xdr:row>
      <xdr:rowOff>144463</xdr:rowOff>
    </xdr:to>
    <xdr:pic>
      <xdr:nvPicPr>
        <xdr:cNvPr id="26" name="Gráfico 25" descr="Trancar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1475" y="1485900"/>
          <a:ext cx="563563" cy="563563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19</xdr:row>
      <xdr:rowOff>114300</xdr:rowOff>
    </xdr:from>
    <xdr:to>
      <xdr:col>1</xdr:col>
      <xdr:colOff>342901</xdr:colOff>
      <xdr:row>22</xdr:row>
      <xdr:rowOff>66676</xdr:rowOff>
    </xdr:to>
    <xdr:pic>
      <xdr:nvPicPr>
        <xdr:cNvPr id="31" name="Gráfico 30" descr="Carrinho de compra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23850" y="3733800"/>
          <a:ext cx="523876" cy="523876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25</xdr:row>
      <xdr:rowOff>171450</xdr:rowOff>
    </xdr:from>
    <xdr:to>
      <xdr:col>1</xdr:col>
      <xdr:colOff>371475</xdr:colOff>
      <xdr:row>28</xdr:row>
      <xdr:rowOff>152400</xdr:rowOff>
    </xdr:to>
    <xdr:pic>
      <xdr:nvPicPr>
        <xdr:cNvPr id="6" name="Gráfico 5" descr="Fechar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23850" y="4933950"/>
          <a:ext cx="552450" cy="552450"/>
        </a:xfrm>
        <a:prstGeom prst="rect">
          <a:avLst/>
        </a:prstGeom>
      </xdr:spPr>
    </xdr:pic>
    <xdr:clientData/>
  </xdr:twoCellAnchor>
  <xdr:oneCellAnchor>
    <xdr:from>
      <xdr:col>2</xdr:col>
      <xdr:colOff>57150</xdr:colOff>
      <xdr:row>5</xdr:row>
      <xdr:rowOff>123825</xdr:rowOff>
    </xdr:from>
    <xdr:ext cx="4762500" cy="405432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171575" y="1076325"/>
          <a:ext cx="4762500" cy="405432"/>
        </a:xfrm>
        <a:prstGeom prst="rect">
          <a:avLst/>
        </a:prstGeom>
        <a:solidFill>
          <a:srgbClr val="101B32"/>
        </a:solidFill>
        <a:ln>
          <a:noFill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000"/>
            <a:t>GERENCIAMENTO</a:t>
          </a:r>
          <a:r>
            <a:rPr lang="pt-BR" sz="2000" baseline="0"/>
            <a:t> DE CONTAS E PRODUTOS</a:t>
          </a:r>
          <a:endParaRPr lang="pt-BR" sz="2000"/>
        </a:p>
      </xdr:txBody>
    </xdr:sp>
    <xdr:clientData/>
  </xdr:oneCellAnchor>
  <xdr:twoCellAnchor>
    <xdr:from>
      <xdr:col>3</xdr:col>
      <xdr:colOff>28574</xdr:colOff>
      <xdr:row>15</xdr:row>
      <xdr:rowOff>180975</xdr:rowOff>
    </xdr:from>
    <xdr:to>
      <xdr:col>7</xdr:col>
      <xdr:colOff>38100</xdr:colOff>
      <xdr:row>18</xdr:row>
      <xdr:rowOff>171450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1806574" y="2929618"/>
          <a:ext cx="2440669" cy="534761"/>
          <a:chOff x="4219574" y="3067050"/>
          <a:chExt cx="2362201" cy="561975"/>
        </a:xfrm>
        <a:effectLst>
          <a:innerShdw blurRad="63500" dist="50800" dir="2700000">
            <a:prstClr val="black">
              <a:alpha val="50000"/>
            </a:prstClr>
          </a:innerShdw>
        </a:effectLst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4219574" y="3067050"/>
            <a:ext cx="2362201" cy="561975"/>
          </a:xfrm>
          <a:prstGeom prst="roundRect">
            <a:avLst/>
          </a:prstGeom>
          <a:solidFill>
            <a:schemeClr val="tx2">
              <a:lumMod val="75000"/>
            </a:schemeClr>
          </a:solidFill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 baseline="0"/>
              <a:t>     MANUTENÇÃO </a:t>
            </a:r>
          </a:p>
          <a:p>
            <a:pPr algn="ctr"/>
            <a:r>
              <a:rPr lang="pt-BR" sz="1200" b="1" baseline="0"/>
              <a:t>    DE CONTAS</a:t>
            </a:r>
            <a:endParaRPr lang="pt-BR" sz="1400" b="1"/>
          </a:p>
        </xdr:txBody>
      </xdr:sp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825" y="3076574"/>
            <a:ext cx="504825" cy="504825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323851</xdr:colOff>
      <xdr:row>5</xdr:row>
      <xdr:rowOff>152401</xdr:rowOff>
    </xdr:from>
    <xdr:to>
      <xdr:col>12</xdr:col>
      <xdr:colOff>333375</xdr:colOff>
      <xdr:row>12</xdr:row>
      <xdr:rowOff>47625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6" y="1104901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</xdr:col>
      <xdr:colOff>57150</xdr:colOff>
      <xdr:row>12</xdr:row>
      <xdr:rowOff>9525</xdr:rowOff>
    </xdr:from>
    <xdr:to>
      <xdr:col>7</xdr:col>
      <xdr:colOff>9525</xdr:colOff>
      <xdr:row>15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835150" y="2213882"/>
          <a:ext cx="2383518" cy="534761"/>
          <a:chOff x="1590675" y="3057525"/>
          <a:chExt cx="2390775" cy="561975"/>
        </a:xfrm>
        <a:effectLst>
          <a:innerShdw blurRad="63500" dist="50800" dir="2700000">
            <a:prstClr val="black">
              <a:alpha val="50000"/>
            </a:prstClr>
          </a:innerShdw>
        </a:effectLst>
      </xdr:grpSpPr>
      <xdr:sp macro="[0]!criar_contas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590675" y="3057525"/>
            <a:ext cx="2390775" cy="561975"/>
          </a:xfrm>
          <a:prstGeom prst="roundRect">
            <a:avLst/>
          </a:prstGeom>
          <a:solidFill>
            <a:schemeClr val="tx2">
              <a:lumMod val="75000"/>
            </a:schemeClr>
          </a:solidFill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/>
              <a:t>CADASTRO</a:t>
            </a:r>
            <a:r>
              <a:rPr lang="pt-BR" sz="1200" b="1" baseline="0"/>
              <a:t> </a:t>
            </a:r>
          </a:p>
          <a:p>
            <a:pPr algn="ctr"/>
            <a:r>
              <a:rPr lang="pt-BR" sz="1200" b="1" baseline="0"/>
              <a:t>DE CONTAS</a:t>
            </a:r>
            <a:endParaRPr lang="pt-BR" sz="1400" b="1"/>
          </a:p>
        </xdr:txBody>
      </xdr:sp>
      <xdr:pic macro="[0]!criar_contas">
        <xdr:nvPicPr>
          <xdr:cNvPr id="27" name="Imagem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04975" y="3095625"/>
            <a:ext cx="457200" cy="4572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581024</xdr:colOff>
      <xdr:row>20</xdr:row>
      <xdr:rowOff>38100</xdr:rowOff>
    </xdr:from>
    <xdr:to>
      <xdr:col>11</xdr:col>
      <xdr:colOff>352425</xdr:colOff>
      <xdr:row>29</xdr:row>
      <xdr:rowOff>90487</xdr:rowOff>
    </xdr:to>
    <xdr:graphicFrame macro="">
      <xdr:nvGraphicFramePr>
        <xdr:cNvPr id="16" name="Diagrama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6" r:lo="rId17" r:qs="rId18" r:cs="rId19"/>
        </a:graphicData>
      </a:graphic>
    </xdr:graphicFrame>
    <xdr:clientData/>
  </xdr:twoCellAnchor>
  <xdr:twoCellAnchor>
    <xdr:from>
      <xdr:col>3</xdr:col>
      <xdr:colOff>133350</xdr:colOff>
      <xdr:row>20</xdr:row>
      <xdr:rowOff>142876</xdr:rowOff>
    </xdr:from>
    <xdr:to>
      <xdr:col>4</xdr:col>
      <xdr:colOff>219075</xdr:colOff>
      <xdr:row>24</xdr:row>
      <xdr:rowOff>28576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857375" y="3952876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533400</xdr:colOff>
      <xdr:row>20</xdr:row>
      <xdr:rowOff>142876</xdr:rowOff>
    </xdr:from>
    <xdr:to>
      <xdr:col>6</xdr:col>
      <xdr:colOff>9525</xdr:colOff>
      <xdr:row>24</xdr:row>
      <xdr:rowOff>28576</xdr:rowOff>
    </xdr:to>
    <xdr:sp macro="" textlink="">
      <xdr:nvSpPr>
        <xdr:cNvPr id="54" name="Elips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867025" y="3952876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10</xdr:col>
      <xdr:colOff>104775</xdr:colOff>
      <xdr:row>20</xdr:row>
      <xdr:rowOff>133351</xdr:rowOff>
    </xdr:from>
    <xdr:to>
      <xdr:col>11</xdr:col>
      <xdr:colOff>190500</xdr:colOff>
      <xdr:row>24</xdr:row>
      <xdr:rowOff>19051</xdr:rowOff>
    </xdr:to>
    <xdr:sp macro="" textlink="">
      <xdr:nvSpPr>
        <xdr:cNvPr id="55" name="Elips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6096000" y="3943351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419100</xdr:colOff>
      <xdr:row>20</xdr:row>
      <xdr:rowOff>133351</xdr:rowOff>
    </xdr:from>
    <xdr:to>
      <xdr:col>7</xdr:col>
      <xdr:colOff>504825</xdr:colOff>
      <xdr:row>24</xdr:row>
      <xdr:rowOff>19051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3971925" y="3943351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238125</xdr:colOff>
      <xdr:row>20</xdr:row>
      <xdr:rowOff>142876</xdr:rowOff>
    </xdr:from>
    <xdr:to>
      <xdr:col>9</xdr:col>
      <xdr:colOff>323850</xdr:colOff>
      <xdr:row>24</xdr:row>
      <xdr:rowOff>28576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010150" y="3952876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323850</xdr:colOff>
      <xdr:row>13</xdr:row>
      <xdr:rowOff>180975</xdr:rowOff>
    </xdr:from>
    <xdr:to>
      <xdr:col>11</xdr:col>
      <xdr:colOff>276225</xdr:colOff>
      <xdr:row>16</xdr:row>
      <xdr:rowOff>171450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4532993" y="2566761"/>
          <a:ext cx="2383518" cy="534760"/>
          <a:chOff x="4781550" y="3076575"/>
          <a:chExt cx="2390775" cy="561975"/>
        </a:xfrm>
      </xdr:grpSpPr>
      <xdr:sp macro="[0]!cadastrar_produtos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4781550" y="3076575"/>
            <a:ext cx="2390775" cy="561975"/>
          </a:xfrm>
          <a:prstGeom prst="roundRect">
            <a:avLst/>
          </a:prstGeom>
          <a:solidFill>
            <a:schemeClr val="tx2">
              <a:lumMod val="75000"/>
            </a:schemeClr>
          </a:solidFill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/>
              <a:t>CADASTRO</a:t>
            </a:r>
            <a:r>
              <a:rPr lang="pt-BR" sz="1200" b="1" baseline="0"/>
              <a:t> </a:t>
            </a:r>
          </a:p>
          <a:p>
            <a:pPr algn="ctr"/>
            <a:r>
              <a:rPr lang="pt-BR" sz="1200" b="1" baseline="0"/>
              <a:t>DE PRODUTOS</a:t>
            </a:r>
            <a:endParaRPr lang="pt-BR" sz="1400" b="1"/>
          </a:p>
        </xdr:txBody>
      </xdr:sp>
      <xdr:pic macro="[0]!cad_produtos"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76800" y="3133725"/>
            <a:ext cx="504826" cy="4516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6</xdr:row>
      <xdr:rowOff>57150</xdr:rowOff>
    </xdr:from>
    <xdr:to>
      <xdr:col>12</xdr:col>
      <xdr:colOff>247650</xdr:colOff>
      <xdr:row>32</xdr:row>
      <xdr:rowOff>38100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23826" y="1172936"/>
          <a:ext cx="7371895" cy="4698093"/>
          <a:chOff x="-515501" y="923925"/>
          <a:chExt cx="13821512" cy="5534025"/>
        </a:xfrm>
        <a:solidFill>
          <a:schemeClr val="bg1">
            <a:lumMod val="85000"/>
          </a:schemeClr>
        </a:solidFill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28575" y="923925"/>
            <a:ext cx="13277436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4" name="Retângulo: Cantos Superiores Arredondados 14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0800000">
            <a:off x="-515501" y="3455194"/>
            <a:ext cx="13821511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171452</xdr:rowOff>
    </xdr:from>
    <xdr:to>
      <xdr:col>2</xdr:col>
      <xdr:colOff>66675</xdr:colOff>
      <xdr:row>34</xdr:row>
      <xdr:rowOff>104775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-2424112" y="2976564"/>
          <a:ext cx="6029323" cy="1181100"/>
        </a:xfrm>
        <a:prstGeom prst="round2SameRect">
          <a:avLst>
            <a:gd name="adj1" fmla="val 50000"/>
            <a:gd name="adj2" fmla="val 0"/>
          </a:avLst>
        </a:prstGeom>
        <a:solidFill>
          <a:srgbClr val="101B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200025</xdr:colOff>
      <xdr:row>13</xdr:row>
      <xdr:rowOff>114301</xdr:rowOff>
    </xdr:from>
    <xdr:to>
      <xdr:col>3</xdr:col>
      <xdr:colOff>76200</xdr:colOff>
      <xdr:row>16</xdr:row>
      <xdr:rowOff>114301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00025" y="2590801"/>
          <a:ext cx="1600200" cy="571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>
    <xdr:from>
      <xdr:col>0</xdr:col>
      <xdr:colOff>371475</xdr:colOff>
      <xdr:row>7</xdr:row>
      <xdr:rowOff>152400</xdr:rowOff>
    </xdr:from>
    <xdr:to>
      <xdr:col>1</xdr:col>
      <xdr:colOff>430213</xdr:colOff>
      <xdr:row>10</xdr:row>
      <xdr:rowOff>144463</xdr:rowOff>
    </xdr:to>
    <xdr:pic>
      <xdr:nvPicPr>
        <xdr:cNvPr id="8" name="Gráfico 7" descr="Tranc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71475" y="1485900"/>
          <a:ext cx="563563" cy="563563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19</xdr:row>
      <xdr:rowOff>114300</xdr:rowOff>
    </xdr:from>
    <xdr:to>
      <xdr:col>1</xdr:col>
      <xdr:colOff>342901</xdr:colOff>
      <xdr:row>22</xdr:row>
      <xdr:rowOff>66676</xdr:rowOff>
    </xdr:to>
    <xdr:pic>
      <xdr:nvPicPr>
        <xdr:cNvPr id="9" name="Gráfico 8" descr="Carrinho de compr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3850" y="3733800"/>
          <a:ext cx="523876" cy="523876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25</xdr:row>
      <xdr:rowOff>171450</xdr:rowOff>
    </xdr:from>
    <xdr:to>
      <xdr:col>1</xdr:col>
      <xdr:colOff>371475</xdr:colOff>
      <xdr:row>28</xdr:row>
      <xdr:rowOff>152400</xdr:rowOff>
    </xdr:to>
    <xdr:pic>
      <xdr:nvPicPr>
        <xdr:cNvPr id="10" name="Gráfico 9" descr="Fecha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23850" y="4933950"/>
          <a:ext cx="552450" cy="552450"/>
        </a:xfrm>
        <a:prstGeom prst="rect">
          <a:avLst/>
        </a:prstGeom>
      </xdr:spPr>
    </xdr:pic>
    <xdr:clientData/>
  </xdr:twoCellAnchor>
  <xdr:oneCellAnchor>
    <xdr:from>
      <xdr:col>2</xdr:col>
      <xdr:colOff>57151</xdr:colOff>
      <xdr:row>5</xdr:row>
      <xdr:rowOff>123825</xdr:rowOff>
    </xdr:from>
    <xdr:ext cx="3924300" cy="405432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171576" y="1076325"/>
          <a:ext cx="3924300" cy="405432"/>
        </a:xfrm>
        <a:prstGeom prst="rect">
          <a:avLst/>
        </a:prstGeom>
        <a:solidFill>
          <a:srgbClr val="101B32"/>
        </a:solidFill>
        <a:ln>
          <a:noFill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000"/>
            <a:t>GESTÃO OPERACIONAL FINANCEIRA</a:t>
          </a:r>
        </a:p>
      </xdr:txBody>
    </xdr:sp>
    <xdr:clientData/>
  </xdr:oneCellAnchor>
  <xdr:twoCellAnchor>
    <xdr:from>
      <xdr:col>3</xdr:col>
      <xdr:colOff>95250</xdr:colOff>
      <xdr:row>16</xdr:row>
      <xdr:rowOff>76200</xdr:rowOff>
    </xdr:from>
    <xdr:to>
      <xdr:col>7</xdr:col>
      <xdr:colOff>47625</xdr:colOff>
      <xdr:row>19</xdr:row>
      <xdr:rowOff>66675</xdr:rowOff>
    </xdr:to>
    <xdr:sp macro="[0]!chamar_subtotal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819275" y="3124200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APURAÇÃO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SUBTOTAL</a:t>
          </a:r>
          <a:endParaRPr lang="pt-BR" sz="1400" b="1"/>
        </a:p>
      </xdr:txBody>
    </xdr:sp>
    <xdr:clientData/>
  </xdr:twoCellAnchor>
  <xdr:twoCellAnchor>
    <xdr:from>
      <xdr:col>7</xdr:col>
      <xdr:colOff>380999</xdr:colOff>
      <xdr:row>16</xdr:row>
      <xdr:rowOff>85725</xdr:rowOff>
    </xdr:from>
    <xdr:to>
      <xdr:col>11</xdr:col>
      <xdr:colOff>390525</xdr:colOff>
      <xdr:row>19</xdr:row>
      <xdr:rowOff>76200</xdr:rowOff>
    </xdr:to>
    <xdr:sp macro="[0]!chamar_consolidaca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4543424" y="3133725"/>
          <a:ext cx="2447926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/>
            <a:t>    CONSOLIDAÇÃO</a:t>
          </a:r>
        </a:p>
        <a:p>
          <a:pPr algn="ctr"/>
          <a:r>
            <a:rPr lang="pt-BR" sz="1200" b="1" baseline="0"/>
            <a:t>    DE VALORES</a:t>
          </a:r>
          <a:endParaRPr lang="pt-BR" sz="1400" b="1"/>
        </a:p>
      </xdr:txBody>
    </xdr:sp>
    <xdr:clientData/>
  </xdr:twoCellAnchor>
  <xdr:twoCellAnchor editAs="absolute">
    <xdr:from>
      <xdr:col>0</xdr:col>
      <xdr:colOff>342900</xdr:colOff>
      <xdr:row>13</xdr:row>
      <xdr:rowOff>140475</xdr:rowOff>
    </xdr:from>
    <xdr:to>
      <xdr:col>1</xdr:col>
      <xdr:colOff>348075</xdr:colOff>
      <xdr:row>16</xdr:row>
      <xdr:rowOff>78975</xdr:rowOff>
    </xdr:to>
    <xdr:pic>
      <xdr:nvPicPr>
        <xdr:cNvPr id="6" name="Gráfico 5" descr="Gráfico de barras com tendência descendente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" y="2616975"/>
          <a:ext cx="510000" cy="51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16</xdr:row>
      <xdr:rowOff>133350</xdr:rowOff>
    </xdr:from>
    <xdr:to>
      <xdr:col>4</xdr:col>
      <xdr:colOff>19050</xdr:colOff>
      <xdr:row>19</xdr:row>
      <xdr:rowOff>38100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6425" y="3181350"/>
          <a:ext cx="476250" cy="476250"/>
        </a:xfrm>
        <a:prstGeom prst="rect">
          <a:avLst/>
        </a:prstGeom>
      </xdr:spPr>
    </xdr:pic>
    <xdr:clientData/>
  </xdr:twoCellAnchor>
  <xdr:twoCellAnchor editAs="oneCell">
    <xdr:from>
      <xdr:col>7</xdr:col>
      <xdr:colOff>381000</xdr:colOff>
      <xdr:row>16</xdr:row>
      <xdr:rowOff>142875</xdr:rowOff>
    </xdr:from>
    <xdr:to>
      <xdr:col>8</xdr:col>
      <xdr:colOff>323850</xdr:colOff>
      <xdr:row>19</xdr:row>
      <xdr:rowOff>123825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3425" y="3190875"/>
          <a:ext cx="552450" cy="55245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20</xdr:row>
      <xdr:rowOff>123825</xdr:rowOff>
    </xdr:from>
    <xdr:to>
      <xdr:col>7</xdr:col>
      <xdr:colOff>85725</xdr:colOff>
      <xdr:row>23</xdr:row>
      <xdr:rowOff>114300</xdr:rowOff>
    </xdr:to>
    <xdr:sp macro="[0]!chamar_tbdinamic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857375" y="3933825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TABELA</a:t>
          </a:r>
        </a:p>
        <a:p>
          <a:pPr algn="ctr"/>
          <a:r>
            <a:rPr lang="pt-BR" sz="1200" b="1"/>
            <a:t>DINÂMICA</a:t>
          </a:r>
          <a:endParaRPr lang="pt-BR" sz="1400" b="1"/>
        </a:p>
      </xdr:txBody>
    </xdr:sp>
    <xdr:clientData/>
  </xdr:twoCellAnchor>
  <xdr:twoCellAnchor>
    <xdr:from>
      <xdr:col>7</xdr:col>
      <xdr:colOff>438150</xdr:colOff>
      <xdr:row>20</xdr:row>
      <xdr:rowOff>114300</xdr:rowOff>
    </xdr:from>
    <xdr:to>
      <xdr:col>11</xdr:col>
      <xdr:colOff>390525</xdr:colOff>
      <xdr:row>23</xdr:row>
      <xdr:rowOff>104775</xdr:rowOff>
    </xdr:to>
    <xdr:sp macro="[0]!chamar_saudefinanceira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600575" y="3924300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     SAÚDE</a:t>
          </a:r>
        </a:p>
        <a:p>
          <a:pPr algn="ctr"/>
          <a:r>
            <a:rPr lang="pt-BR" sz="1200" b="1"/>
            <a:t>     FINANCEIRA</a:t>
          </a:r>
          <a:endParaRPr lang="pt-BR" sz="1400" b="1"/>
        </a:p>
      </xdr:txBody>
    </xdr:sp>
    <xdr:clientData/>
  </xdr:twoCellAnchor>
  <xdr:twoCellAnchor editAs="oneCell">
    <xdr:from>
      <xdr:col>3</xdr:col>
      <xdr:colOff>142875</xdr:colOff>
      <xdr:row>20</xdr:row>
      <xdr:rowOff>133350</xdr:rowOff>
    </xdr:from>
    <xdr:to>
      <xdr:col>4</xdr:col>
      <xdr:colOff>76200</xdr:colOff>
      <xdr:row>23</xdr:row>
      <xdr:rowOff>104775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3943350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504825</xdr:colOff>
      <xdr:row>20</xdr:row>
      <xdr:rowOff>95250</xdr:rowOff>
    </xdr:from>
    <xdr:to>
      <xdr:col>8</xdr:col>
      <xdr:colOff>495300</xdr:colOff>
      <xdr:row>23</xdr:row>
      <xdr:rowOff>123825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0" y="3905250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10</xdr:col>
      <xdr:colOff>323850</xdr:colOff>
      <xdr:row>5</xdr:row>
      <xdr:rowOff>133350</xdr:rowOff>
    </xdr:from>
    <xdr:to>
      <xdr:col>12</xdr:col>
      <xdr:colOff>333374</xdr:colOff>
      <xdr:row>12</xdr:row>
      <xdr:rowOff>28574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5" y="10858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78469</xdr:colOff>
      <xdr:row>6</xdr:row>
      <xdr:rowOff>75292</xdr:rowOff>
    </xdr:from>
    <xdr:to>
      <xdr:col>12</xdr:col>
      <xdr:colOff>202293</xdr:colOff>
      <xdr:row>32</xdr:row>
      <xdr:rowOff>56242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8469" y="1191078"/>
          <a:ext cx="7371895" cy="4698093"/>
          <a:chOff x="-515501" y="923925"/>
          <a:chExt cx="13821512" cy="5534025"/>
        </a:xfrm>
        <a:solidFill>
          <a:schemeClr val="bg1">
            <a:lumMod val="85000"/>
          </a:schemeClr>
        </a:solidFill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8575" y="923925"/>
            <a:ext cx="13277436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4" name="Retângulo: Cantos Superiores Arredondados 14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 rot="10800000">
            <a:off x="-515501" y="3455194"/>
            <a:ext cx="13821511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171452</xdr:rowOff>
    </xdr:from>
    <xdr:to>
      <xdr:col>2</xdr:col>
      <xdr:colOff>66675</xdr:colOff>
      <xdr:row>34</xdr:row>
      <xdr:rowOff>104775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-2424112" y="2976564"/>
          <a:ext cx="6029323" cy="1181100"/>
        </a:xfrm>
        <a:prstGeom prst="round2SameRect">
          <a:avLst>
            <a:gd name="adj1" fmla="val 50000"/>
            <a:gd name="adj2" fmla="val 0"/>
          </a:avLst>
        </a:prstGeom>
        <a:solidFill>
          <a:srgbClr val="101B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180975</xdr:colOff>
      <xdr:row>19</xdr:row>
      <xdr:rowOff>76201</xdr:rowOff>
    </xdr:from>
    <xdr:to>
      <xdr:col>3</xdr:col>
      <xdr:colOff>57150</xdr:colOff>
      <xdr:row>22</xdr:row>
      <xdr:rowOff>76201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80975" y="3695701"/>
          <a:ext cx="1600200" cy="571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>
    <xdr:from>
      <xdr:col>0</xdr:col>
      <xdr:colOff>371475</xdr:colOff>
      <xdr:row>7</xdr:row>
      <xdr:rowOff>152400</xdr:rowOff>
    </xdr:from>
    <xdr:to>
      <xdr:col>1</xdr:col>
      <xdr:colOff>430213</xdr:colOff>
      <xdr:row>10</xdr:row>
      <xdr:rowOff>144463</xdr:rowOff>
    </xdr:to>
    <xdr:pic>
      <xdr:nvPicPr>
        <xdr:cNvPr id="7" name="Gráfico 6" descr="Tranc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71475" y="1485900"/>
          <a:ext cx="563563" cy="563563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25</xdr:row>
      <xdr:rowOff>171450</xdr:rowOff>
    </xdr:from>
    <xdr:to>
      <xdr:col>1</xdr:col>
      <xdr:colOff>371475</xdr:colOff>
      <xdr:row>28</xdr:row>
      <xdr:rowOff>152400</xdr:rowOff>
    </xdr:to>
    <xdr:pic>
      <xdr:nvPicPr>
        <xdr:cNvPr id="9" name="Gráfico 8" descr="Fechar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3850" y="4933950"/>
          <a:ext cx="552450" cy="552450"/>
        </a:xfrm>
        <a:prstGeom prst="rect">
          <a:avLst/>
        </a:prstGeom>
      </xdr:spPr>
    </xdr:pic>
    <xdr:clientData/>
  </xdr:twoCellAnchor>
  <xdr:oneCellAnchor>
    <xdr:from>
      <xdr:col>2</xdr:col>
      <xdr:colOff>57150</xdr:colOff>
      <xdr:row>5</xdr:row>
      <xdr:rowOff>123825</xdr:rowOff>
    </xdr:from>
    <xdr:ext cx="3380862" cy="405432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171575" y="1076325"/>
          <a:ext cx="3380862" cy="405432"/>
        </a:xfrm>
        <a:prstGeom prst="rect">
          <a:avLst/>
        </a:prstGeom>
        <a:solidFill>
          <a:srgbClr val="101B32"/>
        </a:solidFill>
        <a:ln>
          <a:noFill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GERENCIAMENTO</a:t>
          </a:r>
          <a:r>
            <a:rPr lang="pt-BR" sz="2000" baseline="0"/>
            <a:t> DE PEDIDOS</a:t>
          </a:r>
          <a:endParaRPr lang="pt-BR" sz="2000"/>
        </a:p>
      </xdr:txBody>
    </xdr:sp>
    <xdr:clientData/>
  </xdr:oneCellAnchor>
  <xdr:twoCellAnchor>
    <xdr:from>
      <xdr:col>3</xdr:col>
      <xdr:colOff>19050</xdr:colOff>
      <xdr:row>17</xdr:row>
      <xdr:rowOff>28575</xdr:rowOff>
    </xdr:from>
    <xdr:to>
      <xdr:col>6</xdr:col>
      <xdr:colOff>581025</xdr:colOff>
      <xdr:row>20</xdr:row>
      <xdr:rowOff>19050</xdr:rowOff>
    </xdr:to>
    <xdr:sp macro="[0]!chamar_pedid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743075" y="3267075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          NOVAS</a:t>
          </a:r>
        </a:p>
        <a:p>
          <a:pPr algn="ctr"/>
          <a:r>
            <a:rPr lang="pt-BR" sz="1200" b="1"/>
            <a:t>          COMPRAS</a:t>
          </a:r>
          <a:endParaRPr lang="pt-BR" sz="1400" b="1"/>
        </a:p>
      </xdr:txBody>
    </xdr:sp>
    <xdr:clientData/>
  </xdr:twoCellAnchor>
  <xdr:twoCellAnchor>
    <xdr:from>
      <xdr:col>7</xdr:col>
      <xdr:colOff>180974</xdr:colOff>
      <xdr:row>17</xdr:row>
      <xdr:rowOff>9525</xdr:rowOff>
    </xdr:from>
    <xdr:to>
      <xdr:col>11</xdr:col>
      <xdr:colOff>190500</xdr:colOff>
      <xdr:row>20</xdr:row>
      <xdr:rowOff>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4343399" y="3248025"/>
          <a:ext cx="2447926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/>
            <a:t>           VISUALIZAR</a:t>
          </a:r>
        </a:p>
        <a:p>
          <a:pPr algn="ctr"/>
          <a:r>
            <a:rPr lang="pt-BR" sz="1200" b="1" baseline="0"/>
            <a:t>           COMPRAS</a:t>
          </a:r>
          <a:endParaRPr lang="pt-BR" sz="1400" b="1"/>
        </a:p>
      </xdr:txBody>
    </xdr:sp>
    <xdr:clientData/>
  </xdr:twoCellAnchor>
  <xdr:twoCellAnchor editAs="absolute">
    <xdr:from>
      <xdr:col>0</xdr:col>
      <xdr:colOff>342900</xdr:colOff>
      <xdr:row>13</xdr:row>
      <xdr:rowOff>140475</xdr:rowOff>
    </xdr:from>
    <xdr:to>
      <xdr:col>1</xdr:col>
      <xdr:colOff>348075</xdr:colOff>
      <xdr:row>16</xdr:row>
      <xdr:rowOff>78975</xdr:rowOff>
    </xdr:to>
    <xdr:pic>
      <xdr:nvPicPr>
        <xdr:cNvPr id="13" name="Gráfico 12" descr="Gráfico de barras com tendência descendent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42900" y="2616975"/>
          <a:ext cx="510000" cy="51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323850</xdr:colOff>
      <xdr:row>5</xdr:row>
      <xdr:rowOff>133350</xdr:rowOff>
    </xdr:from>
    <xdr:to>
      <xdr:col>12</xdr:col>
      <xdr:colOff>333374</xdr:colOff>
      <xdr:row>12</xdr:row>
      <xdr:rowOff>28574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5" y="10858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323850</xdr:colOff>
      <xdr:row>19</xdr:row>
      <xdr:rowOff>114300</xdr:rowOff>
    </xdr:from>
    <xdr:to>
      <xdr:col>1</xdr:col>
      <xdr:colOff>342901</xdr:colOff>
      <xdr:row>22</xdr:row>
      <xdr:rowOff>66676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323850" y="3733800"/>
          <a:ext cx="523876" cy="523876"/>
        </a:xfrm>
        <a:prstGeom prst="rect">
          <a:avLst/>
        </a:prstGeom>
      </xdr:spPr>
    </xdr:pic>
    <xdr:clientData/>
  </xdr:twoCellAnchor>
  <xdr:twoCellAnchor editAs="oneCell">
    <xdr:from>
      <xdr:col>7</xdr:col>
      <xdr:colOff>333375</xdr:colOff>
      <xdr:row>16</xdr:row>
      <xdr:rowOff>161925</xdr:rowOff>
    </xdr:from>
    <xdr:to>
      <xdr:col>8</xdr:col>
      <xdr:colOff>314325</xdr:colOff>
      <xdr:row>19</xdr:row>
      <xdr:rowOff>180975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0" y="3209925"/>
          <a:ext cx="590550" cy="590550"/>
        </a:xfrm>
        <a:prstGeom prst="rect">
          <a:avLst/>
        </a:prstGeom>
      </xdr:spPr>
    </xdr:pic>
    <xdr:clientData/>
  </xdr:twoCellAnchor>
  <xdr:twoCellAnchor editAs="oneCell">
    <xdr:from>
      <xdr:col>3</xdr:col>
      <xdr:colOff>133351</xdr:colOff>
      <xdr:row>16</xdr:row>
      <xdr:rowOff>180976</xdr:rowOff>
    </xdr:from>
    <xdr:to>
      <xdr:col>4</xdr:col>
      <xdr:colOff>171451</xdr:colOff>
      <xdr:row>20</xdr:row>
      <xdr:rowOff>66676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7376" y="3228976"/>
          <a:ext cx="647700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6</xdr:row>
      <xdr:rowOff>57150</xdr:rowOff>
    </xdr:from>
    <xdr:to>
      <xdr:col>12</xdr:col>
      <xdr:colOff>247650</xdr:colOff>
      <xdr:row>32</xdr:row>
      <xdr:rowOff>38100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23826" y="1172936"/>
          <a:ext cx="7371895" cy="4698093"/>
          <a:chOff x="-515501" y="923925"/>
          <a:chExt cx="13821512" cy="5534025"/>
        </a:xfrm>
        <a:solidFill>
          <a:schemeClr val="bg1">
            <a:lumMod val="85000"/>
          </a:schemeClr>
        </a:solidFill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8575" y="923925"/>
            <a:ext cx="13277436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4" name="Retângulo: Cantos Superiores Arredondados 14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 rot="10800000">
            <a:off x="-515501" y="3455194"/>
            <a:ext cx="13821511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171452</xdr:rowOff>
    </xdr:from>
    <xdr:to>
      <xdr:col>2</xdr:col>
      <xdr:colOff>66675</xdr:colOff>
      <xdr:row>34</xdr:row>
      <xdr:rowOff>104775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rot="5400000">
          <a:off x="-2424112" y="2976564"/>
          <a:ext cx="6029323" cy="1181100"/>
        </a:xfrm>
        <a:prstGeom prst="round2SameRect">
          <a:avLst>
            <a:gd name="adj1" fmla="val 50000"/>
            <a:gd name="adj2" fmla="val 0"/>
          </a:avLst>
        </a:prstGeom>
        <a:solidFill>
          <a:srgbClr val="101B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180975</xdr:colOff>
      <xdr:row>25</xdr:row>
      <xdr:rowOff>152401</xdr:rowOff>
    </xdr:from>
    <xdr:to>
      <xdr:col>3</xdr:col>
      <xdr:colOff>57150</xdr:colOff>
      <xdr:row>28</xdr:row>
      <xdr:rowOff>152401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80975" y="4914901"/>
          <a:ext cx="1600200" cy="571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>
    <xdr:from>
      <xdr:col>0</xdr:col>
      <xdr:colOff>371475</xdr:colOff>
      <xdr:row>7</xdr:row>
      <xdr:rowOff>152400</xdr:rowOff>
    </xdr:from>
    <xdr:to>
      <xdr:col>1</xdr:col>
      <xdr:colOff>430213</xdr:colOff>
      <xdr:row>10</xdr:row>
      <xdr:rowOff>144463</xdr:rowOff>
    </xdr:to>
    <xdr:pic>
      <xdr:nvPicPr>
        <xdr:cNvPr id="7" name="Gráfico 6" descr="Tranc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71475" y="1485900"/>
          <a:ext cx="563563" cy="563563"/>
        </a:xfrm>
        <a:prstGeom prst="rect">
          <a:avLst/>
        </a:prstGeom>
      </xdr:spPr>
    </xdr:pic>
    <xdr:clientData/>
  </xdr:twoCellAnchor>
  <xdr:oneCellAnchor>
    <xdr:from>
      <xdr:col>2</xdr:col>
      <xdr:colOff>57150</xdr:colOff>
      <xdr:row>5</xdr:row>
      <xdr:rowOff>123825</xdr:rowOff>
    </xdr:from>
    <xdr:ext cx="3795206" cy="405432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171575" y="1076325"/>
          <a:ext cx="3795206" cy="405432"/>
        </a:xfrm>
        <a:prstGeom prst="rect">
          <a:avLst/>
        </a:prstGeom>
        <a:solidFill>
          <a:srgbClr val="101B32"/>
        </a:solidFill>
        <a:ln>
          <a:noFill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LOGOUT</a:t>
          </a:r>
          <a:r>
            <a:rPr lang="pt-BR" sz="2000" baseline="0"/>
            <a:t> E ENCERRAMENTO EXCEL</a:t>
          </a:r>
          <a:endParaRPr lang="pt-BR" sz="2000"/>
        </a:p>
      </xdr:txBody>
    </xdr:sp>
    <xdr:clientData/>
  </xdr:oneCellAnchor>
  <xdr:twoCellAnchor>
    <xdr:from>
      <xdr:col>3</xdr:col>
      <xdr:colOff>28575</xdr:colOff>
      <xdr:row>17</xdr:row>
      <xdr:rowOff>142875</xdr:rowOff>
    </xdr:from>
    <xdr:to>
      <xdr:col>6</xdr:col>
      <xdr:colOff>590550</xdr:colOff>
      <xdr:row>20</xdr:row>
      <xdr:rowOff>133350</xdr:rowOff>
    </xdr:to>
    <xdr:sp macro="[0]!encerrar_cont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752600" y="3381375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600" b="1"/>
            <a:t>      </a:t>
          </a:r>
        </a:p>
        <a:p>
          <a:pPr algn="ctr"/>
          <a:r>
            <a:rPr lang="pt-BR" sz="1200" b="1"/>
            <a:t>     ENCERRAR</a:t>
          </a:r>
          <a:r>
            <a:rPr lang="pt-BR" sz="1200" b="1" baseline="0"/>
            <a:t> CONTA</a:t>
          </a:r>
          <a:endParaRPr lang="pt-BR" sz="1400" b="1"/>
        </a:p>
      </xdr:txBody>
    </xdr:sp>
    <xdr:clientData/>
  </xdr:twoCellAnchor>
  <xdr:twoCellAnchor>
    <xdr:from>
      <xdr:col>7</xdr:col>
      <xdr:colOff>180974</xdr:colOff>
      <xdr:row>17</xdr:row>
      <xdr:rowOff>161925</xdr:rowOff>
    </xdr:from>
    <xdr:to>
      <xdr:col>11</xdr:col>
      <xdr:colOff>190500</xdr:colOff>
      <xdr:row>20</xdr:row>
      <xdr:rowOff>152400</xdr:rowOff>
    </xdr:to>
    <xdr:sp macro="[0]!sair_excel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343399" y="3400425"/>
          <a:ext cx="2447926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600" b="1" baseline="0"/>
            <a:t>       </a:t>
          </a:r>
        </a:p>
        <a:p>
          <a:pPr algn="ctr"/>
          <a:r>
            <a:rPr lang="pt-BR" sz="1200" b="1" baseline="0"/>
            <a:t>        SAIR DO EXCEL</a:t>
          </a:r>
          <a:endParaRPr lang="pt-BR" sz="1400" b="1"/>
        </a:p>
      </xdr:txBody>
    </xdr:sp>
    <xdr:clientData/>
  </xdr:twoCellAnchor>
  <xdr:twoCellAnchor editAs="absolute">
    <xdr:from>
      <xdr:col>0</xdr:col>
      <xdr:colOff>342900</xdr:colOff>
      <xdr:row>13</xdr:row>
      <xdr:rowOff>140475</xdr:rowOff>
    </xdr:from>
    <xdr:to>
      <xdr:col>1</xdr:col>
      <xdr:colOff>348075</xdr:colOff>
      <xdr:row>16</xdr:row>
      <xdr:rowOff>78975</xdr:rowOff>
    </xdr:to>
    <xdr:pic>
      <xdr:nvPicPr>
        <xdr:cNvPr id="12" name="Gráfico 11" descr="Gráfico de barras com tendência de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2900" y="2616975"/>
          <a:ext cx="510000" cy="51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323850</xdr:colOff>
      <xdr:row>5</xdr:row>
      <xdr:rowOff>133350</xdr:rowOff>
    </xdr:from>
    <xdr:to>
      <xdr:col>12</xdr:col>
      <xdr:colOff>333374</xdr:colOff>
      <xdr:row>12</xdr:row>
      <xdr:rowOff>28574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5" y="10858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323850</xdr:colOff>
      <xdr:row>19</xdr:row>
      <xdr:rowOff>114300</xdr:rowOff>
    </xdr:from>
    <xdr:to>
      <xdr:col>1</xdr:col>
      <xdr:colOff>342901</xdr:colOff>
      <xdr:row>22</xdr:row>
      <xdr:rowOff>66676</xdr:rowOff>
    </xdr:to>
    <xdr:pic>
      <xdr:nvPicPr>
        <xdr:cNvPr id="14" name="Gráfico 13" descr="Carrinho de compra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3850" y="3733800"/>
          <a:ext cx="523876" cy="523876"/>
        </a:xfrm>
        <a:prstGeom prst="rect">
          <a:avLst/>
        </a:prstGeom>
      </xdr:spPr>
    </xdr:pic>
    <xdr:clientData/>
  </xdr:twoCellAnchor>
  <xdr:twoCellAnchor editAs="oneCell">
    <xdr:from>
      <xdr:col>7</xdr:col>
      <xdr:colOff>323850</xdr:colOff>
      <xdr:row>18</xdr:row>
      <xdr:rowOff>47625</xdr:rowOff>
    </xdr:from>
    <xdr:to>
      <xdr:col>8</xdr:col>
      <xdr:colOff>123825</xdr:colOff>
      <xdr:row>20</xdr:row>
      <xdr:rowOff>76200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6275" y="3476625"/>
          <a:ext cx="409575" cy="409575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18</xdr:row>
      <xdr:rowOff>19050</xdr:rowOff>
    </xdr:from>
    <xdr:to>
      <xdr:col>3</xdr:col>
      <xdr:colOff>504825</xdr:colOff>
      <xdr:row>20</xdr:row>
      <xdr:rowOff>95250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344805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25</xdr:row>
      <xdr:rowOff>171450</xdr:rowOff>
    </xdr:from>
    <xdr:to>
      <xdr:col>1</xdr:col>
      <xdr:colOff>371475</xdr:colOff>
      <xdr:row>28</xdr:row>
      <xdr:rowOff>152400</xdr:rowOff>
    </xdr:to>
    <xdr:pic>
      <xdr:nvPicPr>
        <xdr:cNvPr id="8" name="Gráfico 7" descr="Fechar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23850" y="4933950"/>
          <a:ext cx="552450" cy="552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0</xdr:row>
      <xdr:rowOff>161925</xdr:rowOff>
    </xdr:from>
    <xdr:to>
      <xdr:col>2</xdr:col>
      <xdr:colOff>19049</xdr:colOff>
      <xdr:row>6</xdr:row>
      <xdr:rowOff>85724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161925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190500</xdr:rowOff>
        </xdr:from>
        <xdr:to>
          <xdr:col>10</xdr:col>
          <xdr:colOff>12700</xdr:colOff>
          <xdr:row>21</xdr:row>
          <xdr:rowOff>184150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1</xdr:col>
      <xdr:colOff>1228724</xdr:colOff>
      <xdr:row>6</xdr:row>
      <xdr:rowOff>142874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</xdr:col>
      <xdr:colOff>1257301</xdr:colOff>
      <xdr:row>1</xdr:row>
      <xdr:rowOff>114302</xdr:rowOff>
    </xdr:from>
    <xdr:to>
      <xdr:col>4</xdr:col>
      <xdr:colOff>28575</xdr:colOff>
      <xdr:row>5</xdr:row>
      <xdr:rowOff>95250</xdr:rowOff>
    </xdr:to>
    <xdr:sp macro="" textlink="Z113">
      <xdr:nvSpPr>
        <xdr:cNvPr id="18" name="Retângulo Arredondad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1628776" y="304802"/>
          <a:ext cx="4400549" cy="742948"/>
        </a:xfrm>
        <a:prstGeom prst="roundRect">
          <a:avLst/>
        </a:prstGeom>
        <a:solidFill>
          <a:srgbClr val="18294C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E5BA036-5E1C-49EB-8799-0B3987ACD24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Elaborar apuração de subtotais, definindo o total de faturamento mensal de cada empresa.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4</xdr:col>
      <xdr:colOff>239059</xdr:colOff>
      <xdr:row>1</xdr:row>
      <xdr:rowOff>89646</xdr:rowOff>
    </xdr:from>
    <xdr:to>
      <xdr:col>4</xdr:col>
      <xdr:colOff>1153459</xdr:colOff>
      <xdr:row>6</xdr:row>
      <xdr:rowOff>47811</xdr:rowOff>
    </xdr:to>
    <xdr:pic macro="[0]!retornar_operacional">
      <xdr:nvPicPr>
        <xdr:cNvPr id="3" name="Gráfico 2" descr="Cadeira de rodas nova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596530" y="276411"/>
          <a:ext cx="914400" cy="914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1</xdr:col>
      <xdr:colOff>1228724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</xdr:col>
      <xdr:colOff>1257301</xdr:colOff>
      <xdr:row>1</xdr:row>
      <xdr:rowOff>114302</xdr:rowOff>
    </xdr:from>
    <xdr:to>
      <xdr:col>4</xdr:col>
      <xdr:colOff>28575</xdr:colOff>
      <xdr:row>5</xdr:row>
      <xdr:rowOff>95250</xdr:rowOff>
    </xdr:to>
    <xdr:sp macro="" textlink="Z100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28776" y="304802"/>
          <a:ext cx="4400549" cy="742948"/>
        </a:xfrm>
        <a:prstGeom prst="roundRect">
          <a:avLst/>
        </a:prstGeom>
        <a:solidFill>
          <a:srgbClr val="18294C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E5BA036-5E1C-49EB-8799-0B3987ACD24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Consolidar a média de faturamento mensal de cada empresa fornecedora de produtos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4</xdr:col>
      <xdr:colOff>215900</xdr:colOff>
      <xdr:row>0</xdr:row>
      <xdr:rowOff>177800</xdr:rowOff>
    </xdr:from>
    <xdr:to>
      <xdr:col>5</xdr:col>
      <xdr:colOff>323850</xdr:colOff>
      <xdr:row>5</xdr:row>
      <xdr:rowOff>152400</xdr:rowOff>
    </xdr:to>
    <xdr:pic macro="[0]!retornar_operacional">
      <xdr:nvPicPr>
        <xdr:cNvPr id="4" name="Gráfico 3" descr="Cadeira de rodas nova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496050" y="177800"/>
          <a:ext cx="914400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1</xdr:col>
      <xdr:colOff>1228724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</xdr:col>
      <xdr:colOff>1257301</xdr:colOff>
      <xdr:row>1</xdr:row>
      <xdr:rowOff>114302</xdr:rowOff>
    </xdr:from>
    <xdr:to>
      <xdr:col>5</xdr:col>
      <xdr:colOff>1133474</xdr:colOff>
      <xdr:row>5</xdr:row>
      <xdr:rowOff>95250</xdr:rowOff>
    </xdr:to>
    <xdr:sp macro="" textlink="Z100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628776" y="304802"/>
          <a:ext cx="5591173" cy="742948"/>
        </a:xfrm>
        <a:prstGeom prst="roundRect">
          <a:avLst/>
        </a:prstGeom>
        <a:solidFill>
          <a:srgbClr val="18294C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E5BA036-5E1C-49EB-8799-0B3987ACD24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Elaborar uma tabela dinâmica, conforme referências, como seguem: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1212850</xdr:colOff>
      <xdr:row>1</xdr:row>
      <xdr:rowOff>0</xdr:rowOff>
    </xdr:from>
    <xdr:to>
      <xdr:col>8</xdr:col>
      <xdr:colOff>863600</xdr:colOff>
      <xdr:row>5</xdr:row>
      <xdr:rowOff>158750</xdr:rowOff>
    </xdr:to>
    <xdr:pic macro="[0]!retornar_operacional">
      <xdr:nvPicPr>
        <xdr:cNvPr id="4" name="Gráfico 3" descr="Cadeira de rodas nova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588250" y="184150"/>
          <a:ext cx="914400" cy="914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8209" cy="601828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0.8756</cdr:x>
      <cdr:y>0.76277</cdr:y>
    </cdr:from>
    <cdr:to>
      <cdr:x>0.97037</cdr:x>
      <cdr:y>0.91471</cdr:y>
    </cdr:to>
    <cdr:pic macro="[0]!retornar_operacional">
      <cdr:nvPicPr>
        <cdr:cNvPr id="2" name="Gráfico 2" descr="Cadeira de rodas nova">
          <a:extLst xmlns:a="http://schemas.openxmlformats.org/drawingml/2006/main">
            <a:ext uri="{FF2B5EF4-FFF2-40B4-BE49-F238E27FC236}">
              <a16:creationId xmlns:a16="http://schemas.microsoft.com/office/drawing/2014/main" id="{17B7E82F-EF15-4121-B4AA-002D8942FAB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447965" y="4590575"/>
          <a:ext cx="914400" cy="914400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2</xdr:col>
      <xdr:colOff>361949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</xdr:col>
      <xdr:colOff>438151</xdr:colOff>
      <xdr:row>1</xdr:row>
      <xdr:rowOff>28577</xdr:rowOff>
    </xdr:from>
    <xdr:to>
      <xdr:col>7</xdr:col>
      <xdr:colOff>1590675</xdr:colOff>
      <xdr:row>6</xdr:row>
      <xdr:rowOff>28575</xdr:rowOff>
    </xdr:to>
    <xdr:sp macro="" textlink="Z100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676401" y="219077"/>
          <a:ext cx="6115049" cy="952498"/>
        </a:xfrm>
        <a:prstGeom prst="roundRect">
          <a:avLst/>
        </a:prstGeom>
        <a:solidFill>
          <a:srgbClr val="18294C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E5BA036-5E1C-49EB-8799-0B3987ACD24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Elaborar um gráfico tipo (linha) em uma "nova planilha", traçando um comparativo de vendas mensais em relação a meta da referida empresa.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2</xdr:col>
      <xdr:colOff>295274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2</xdr:col>
      <xdr:colOff>295274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7150"/>
          <a:ext cx="1273174" cy="12096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7</xdr:col>
      <xdr:colOff>71438</xdr:colOff>
      <xdr:row>10</xdr:row>
      <xdr:rowOff>0</xdr:rowOff>
    </xdr:from>
    <xdr:to>
      <xdr:col>8</xdr:col>
      <xdr:colOff>492125</xdr:colOff>
      <xdr:row>13</xdr:row>
      <xdr:rowOff>7937</xdr:rowOff>
    </xdr:to>
    <xdr:pic macro="[0]!btn_atualizar">
      <xdr:nvPicPr>
        <xdr:cNvPr id="4" name="Gráfico 3" descr="Repetir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83626" y="1889125"/>
          <a:ext cx="579437" cy="57943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uno" refreshedDate="45882.506460300923" createdVersion="6" refreshedVersion="6" minRefreshableVersion="3" recordCount="14" xr:uid="{455AE98C-9EDD-44B0-A206-6132B76CE1D5}">
  <cacheSource type="worksheet">
    <worksheetSource ref="B10:F24" sheet="TAB_DINA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66">
      <sharedItems containsSemiMixedTypes="0" containsString="0" containsNumber="1" containsInteger="1" minValue="21" maxValue="9876"/>
    </cacheField>
    <cacheField name="Fevereiro" numFmtId="166">
      <sharedItems containsSemiMixedTypes="0" containsString="0" containsNumber="1" containsInteger="1" minValue="2" maxValue="5534"/>
    </cacheField>
    <cacheField name="Março" numFmtId="166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A2A211-942C-48EF-93A6-42DA1C22C8A7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I10:L26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66" outline="0" showAll="0"/>
    <pivotField dataField="1" compact="0" numFmtId="166" outline="0" showAll="0"/>
    <pivotField dataField="1" compact="0" numFmtId="166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.xml"/><Relationship Id="rId4" Type="http://schemas.openxmlformats.org/officeDocument/2006/relationships/image" Target="../media/image35.png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Relationship Id="rId4" Type="http://schemas.openxmlformats.org/officeDocument/2006/relationships/image" Target="../media/image35.png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AD489"/>
  <sheetViews>
    <sheetView showGridLines="0" zoomScale="70" zoomScaleNormal="70" workbookViewId="0"/>
  </sheetViews>
  <sheetFormatPr defaultRowHeight="14.5"/>
  <cols>
    <col min="1" max="1" width="7.54296875" customWidth="1"/>
    <col min="3" max="3" width="9.1796875" customWidth="1"/>
    <col min="13" max="13" width="9.1796875" style="3"/>
    <col min="25" max="25" width="9.1796875" style="2"/>
    <col min="26" max="28" width="9.1796875" style="1"/>
    <col min="29" max="29" width="10.26953125" style="1" customWidth="1"/>
  </cols>
  <sheetData>
    <row r="1" spans="2:30" s="3" customFormat="1">
      <c r="Y1" s="7"/>
    </row>
    <row r="2" spans="2:30" s="3" customFormat="1" ht="15" customHeight="1">
      <c r="C2" s="8"/>
      <c r="D2" s="8"/>
      <c r="E2" s="8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10"/>
      <c r="T2" s="10"/>
      <c r="U2" s="10"/>
      <c r="V2" s="10"/>
      <c r="W2" s="10"/>
      <c r="Y2" s="7"/>
    </row>
    <row r="3" spans="2:30" s="3" customFormat="1" ht="15" customHeight="1">
      <c r="C3" s="8"/>
      <c r="D3" s="8"/>
      <c r="E3" s="8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10"/>
      <c r="T3" s="10"/>
      <c r="U3" s="10"/>
      <c r="V3" s="10"/>
      <c r="W3" s="10"/>
      <c r="Y3" s="7"/>
    </row>
    <row r="4" spans="2:30" ht="15" customHeight="1">
      <c r="C4" s="4"/>
      <c r="D4" s="4"/>
      <c r="E4" s="4"/>
      <c r="F4" s="6"/>
      <c r="G4" s="6"/>
      <c r="H4" s="6"/>
      <c r="I4" s="6"/>
      <c r="J4" s="6"/>
      <c r="K4" s="6"/>
      <c r="L4" s="6"/>
      <c r="M4" s="9"/>
      <c r="N4" s="9"/>
      <c r="O4" s="9"/>
      <c r="P4" s="9"/>
      <c r="Q4" s="9"/>
      <c r="R4" s="9"/>
      <c r="S4" s="10"/>
      <c r="T4" s="10"/>
      <c r="U4" s="10"/>
      <c r="V4" s="10"/>
      <c r="W4" s="10"/>
      <c r="X4" s="3"/>
      <c r="Y4" s="7"/>
      <c r="Z4" s="3"/>
      <c r="AA4" s="3"/>
      <c r="AB4" s="3"/>
      <c r="AC4" s="3"/>
      <c r="AD4" s="3"/>
    </row>
    <row r="5" spans="2:30"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7"/>
      <c r="Z5" s="3"/>
      <c r="AA5" s="3"/>
      <c r="AB5" s="3"/>
      <c r="AC5" s="3"/>
      <c r="AD5" s="3"/>
    </row>
    <row r="6" spans="2:30"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7"/>
      <c r="Z6" s="3"/>
      <c r="AA6" s="3"/>
      <c r="AB6" s="3"/>
      <c r="AC6" s="3"/>
      <c r="AD6" s="3"/>
    </row>
    <row r="7" spans="2:30"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7"/>
      <c r="Z7" s="3"/>
      <c r="AA7" s="3"/>
      <c r="AB7" s="3"/>
      <c r="AC7" s="3"/>
      <c r="AD7" s="3"/>
    </row>
    <row r="8" spans="2:30"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7"/>
      <c r="Z8" s="3"/>
      <c r="AA8" s="3"/>
      <c r="AB8" s="3"/>
      <c r="AC8" s="3"/>
      <c r="AD8" s="3"/>
    </row>
    <row r="9" spans="2:30"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7"/>
      <c r="Z9" s="3"/>
      <c r="AA9" s="3"/>
      <c r="AB9" s="3"/>
      <c r="AC9" s="3"/>
      <c r="AD9" s="3"/>
    </row>
    <row r="10" spans="2:30"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7"/>
      <c r="Z10" s="3"/>
      <c r="AA10" s="3"/>
      <c r="AB10" s="3"/>
      <c r="AC10" s="3"/>
      <c r="AD10" s="3"/>
    </row>
    <row r="11" spans="2:30"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7"/>
      <c r="Z11" s="3"/>
      <c r="AA11" s="3"/>
      <c r="AB11" s="3"/>
      <c r="AC11" s="3"/>
      <c r="AD11" s="3"/>
    </row>
    <row r="12" spans="2:30"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7"/>
      <c r="Z12" s="3"/>
      <c r="AA12" s="3"/>
      <c r="AB12" s="3"/>
      <c r="AC12" s="3"/>
      <c r="AD12" s="3"/>
    </row>
    <row r="13" spans="2:30"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7"/>
      <c r="Z13" s="3"/>
      <c r="AA13" s="3"/>
      <c r="AB13" s="3"/>
      <c r="AC13" s="3"/>
      <c r="AD13" s="3"/>
    </row>
    <row r="14" spans="2:30"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7"/>
      <c r="Z14" s="3"/>
      <c r="AA14" s="3"/>
      <c r="AB14" s="3"/>
      <c r="AC14" s="3"/>
      <c r="AD14" s="3"/>
    </row>
    <row r="15" spans="2:30"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7"/>
      <c r="Z15" s="3"/>
      <c r="AA15" s="3"/>
      <c r="AB15" s="3"/>
      <c r="AC15" s="3"/>
      <c r="AD15" s="3"/>
    </row>
    <row r="16" spans="2:30">
      <c r="B16" s="3"/>
      <c r="C16" s="1"/>
      <c r="D16" s="1"/>
      <c r="E16" s="1"/>
      <c r="F16" s="1"/>
      <c r="G16" s="1"/>
      <c r="H16" s="1"/>
      <c r="I16" s="1"/>
      <c r="J16" s="1"/>
      <c r="K16" s="1"/>
      <c r="L16" s="1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7"/>
      <c r="Z16" s="3"/>
      <c r="AA16" s="3"/>
      <c r="AB16" s="3"/>
      <c r="AC16" s="3"/>
      <c r="AD16" s="3"/>
    </row>
    <row r="17" spans="2:30">
      <c r="B17" s="3"/>
      <c r="C17" s="1"/>
      <c r="D17" s="1"/>
      <c r="E17" s="1"/>
      <c r="F17" s="1"/>
      <c r="G17" s="1"/>
      <c r="H17" s="1"/>
      <c r="I17" s="1"/>
      <c r="J17" s="1"/>
      <c r="K17" s="1"/>
      <c r="L17" s="1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7"/>
      <c r="Z17" s="3"/>
      <c r="AA17" s="3"/>
      <c r="AB17" s="3"/>
      <c r="AC17" s="3"/>
      <c r="AD17" s="3"/>
    </row>
    <row r="18" spans="2:30">
      <c r="B18" s="3"/>
      <c r="C18" s="1"/>
      <c r="D18" s="1"/>
      <c r="E18" s="1"/>
      <c r="F18" s="1"/>
      <c r="G18" s="1"/>
      <c r="H18" s="1"/>
      <c r="I18" s="1"/>
      <c r="J18" s="1"/>
      <c r="K18" s="1"/>
      <c r="L18" s="1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7"/>
      <c r="Z18" s="3"/>
      <c r="AA18" s="3"/>
      <c r="AB18" s="3"/>
      <c r="AC18" s="3"/>
      <c r="AD18" s="3"/>
    </row>
    <row r="19" spans="2:30">
      <c r="B19" s="3"/>
      <c r="C19" s="1"/>
      <c r="D19" s="1"/>
      <c r="E19" s="1"/>
      <c r="F19" s="1"/>
      <c r="G19" s="1"/>
      <c r="H19" s="1"/>
      <c r="I19" s="1"/>
      <c r="J19" s="1"/>
      <c r="K19" s="1"/>
      <c r="L19" s="1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7"/>
      <c r="Z19" s="3"/>
      <c r="AA19" s="3"/>
      <c r="AB19" s="3"/>
      <c r="AC19" s="3"/>
      <c r="AD19" s="3"/>
    </row>
    <row r="20" spans="2:30">
      <c r="B20" s="3"/>
      <c r="C20" s="1"/>
      <c r="D20" s="1"/>
      <c r="E20" s="1"/>
      <c r="F20" s="1"/>
      <c r="G20" s="1"/>
      <c r="H20" s="1"/>
      <c r="I20" s="1"/>
      <c r="J20" s="1"/>
      <c r="K20" s="1"/>
      <c r="L20" s="1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7"/>
      <c r="Z20" s="3"/>
      <c r="AA20" s="3"/>
      <c r="AB20" s="3"/>
      <c r="AC20" s="3"/>
      <c r="AD20" s="3"/>
    </row>
    <row r="21" spans="2:30">
      <c r="B21" s="3"/>
      <c r="C21" s="1"/>
      <c r="D21" s="1"/>
      <c r="E21" s="1"/>
      <c r="F21" s="1"/>
      <c r="G21" s="1"/>
      <c r="H21" s="1"/>
      <c r="I21" s="1"/>
      <c r="J21" s="1"/>
      <c r="K21" s="1"/>
      <c r="L21" s="1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7"/>
      <c r="Z21" s="3"/>
      <c r="AA21" s="3"/>
      <c r="AB21" s="3"/>
      <c r="AC21" s="3"/>
      <c r="AD21" s="3"/>
    </row>
    <row r="22" spans="2:30">
      <c r="B22" s="3"/>
      <c r="C22" s="1"/>
      <c r="D22" s="1"/>
      <c r="E22" s="1"/>
      <c r="F22" s="1"/>
      <c r="G22" s="1"/>
      <c r="H22" s="1"/>
      <c r="I22" s="1"/>
      <c r="J22" s="1"/>
      <c r="K22" s="1"/>
      <c r="L22" s="1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7"/>
      <c r="Z22" s="3"/>
      <c r="AA22" s="3"/>
      <c r="AB22" s="3"/>
      <c r="AC22" s="3"/>
      <c r="AD22" s="3"/>
    </row>
    <row r="23" spans="2:30">
      <c r="B23" s="3"/>
      <c r="C23" s="1"/>
      <c r="D23" s="1"/>
      <c r="E23" s="1"/>
      <c r="F23" s="1"/>
      <c r="G23" s="1"/>
      <c r="H23" s="1"/>
      <c r="I23" s="1"/>
      <c r="J23" s="1"/>
      <c r="K23" s="1"/>
      <c r="L23" s="1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7"/>
      <c r="Z23" s="3"/>
      <c r="AA23" s="3"/>
      <c r="AB23" s="3"/>
      <c r="AC23" s="3"/>
      <c r="AD23" s="3"/>
    </row>
    <row r="24" spans="2:30">
      <c r="B24" s="3"/>
      <c r="C24" s="1"/>
      <c r="D24" s="1"/>
      <c r="E24" s="1"/>
      <c r="F24" s="1"/>
      <c r="G24" s="1"/>
      <c r="H24" s="1"/>
      <c r="I24" s="1"/>
      <c r="J24" s="1"/>
      <c r="K24" s="1"/>
      <c r="L24" s="1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7"/>
      <c r="Z24" s="3"/>
      <c r="AA24" s="3"/>
      <c r="AB24" s="3"/>
      <c r="AC24" s="3"/>
      <c r="AD24" s="3"/>
    </row>
    <row r="25" spans="2:30">
      <c r="B25" s="3"/>
      <c r="C25" s="1"/>
      <c r="D25" s="1"/>
      <c r="E25" s="1"/>
      <c r="F25" s="1"/>
      <c r="G25" s="1"/>
      <c r="H25" s="1"/>
      <c r="I25" s="1"/>
      <c r="J25" s="1"/>
      <c r="K25" s="1"/>
      <c r="L25" s="1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7"/>
      <c r="Z25" s="3"/>
      <c r="AA25" s="3"/>
      <c r="AB25" s="3"/>
      <c r="AC25" s="3"/>
      <c r="AD25" s="3"/>
    </row>
    <row r="26" spans="2:30">
      <c r="B26" s="3"/>
      <c r="C26" s="1"/>
      <c r="D26" s="1"/>
      <c r="E26" s="1"/>
      <c r="F26" s="1"/>
      <c r="G26" s="1"/>
      <c r="H26" s="1"/>
      <c r="I26" s="1"/>
      <c r="J26" s="1"/>
      <c r="K26" s="1"/>
      <c r="L26" s="1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7"/>
      <c r="Z26" s="3"/>
      <c r="AA26" s="3"/>
      <c r="AB26" s="3"/>
      <c r="AC26" s="3"/>
      <c r="AD26" s="3"/>
    </row>
    <row r="27" spans="2:30">
      <c r="B27" s="3"/>
      <c r="C27" s="1"/>
      <c r="D27" s="1"/>
      <c r="E27" s="1"/>
      <c r="F27" s="1"/>
      <c r="G27" s="1"/>
      <c r="H27" s="1"/>
      <c r="I27" s="1"/>
      <c r="J27" s="1"/>
      <c r="K27" s="1"/>
      <c r="L27" s="1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7"/>
      <c r="Z27" s="3"/>
      <c r="AA27" s="3"/>
      <c r="AB27" s="3"/>
      <c r="AC27" s="3"/>
      <c r="AD27" s="3"/>
    </row>
    <row r="28" spans="2:30">
      <c r="B28" s="3"/>
      <c r="C28" s="1"/>
      <c r="D28" s="1"/>
      <c r="E28" s="1"/>
      <c r="F28" s="1"/>
      <c r="G28" s="1"/>
      <c r="H28" s="1"/>
      <c r="I28" s="1"/>
      <c r="J28" s="1"/>
      <c r="K28" s="1"/>
      <c r="L28" s="1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7"/>
      <c r="Z28" s="3"/>
      <c r="AA28" s="3"/>
      <c r="AB28" s="3"/>
      <c r="AC28" s="3"/>
      <c r="AD28" s="3"/>
    </row>
    <row r="29" spans="2:30">
      <c r="B29" s="3"/>
      <c r="C29" s="1"/>
      <c r="D29" s="1"/>
      <c r="E29" s="1"/>
      <c r="F29" s="1"/>
      <c r="G29" s="1"/>
      <c r="H29" s="1"/>
      <c r="I29" s="1"/>
      <c r="J29" s="1"/>
      <c r="K29" s="1"/>
      <c r="L29" s="1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7"/>
      <c r="Z29" s="3"/>
      <c r="AA29" s="3"/>
      <c r="AB29" s="3"/>
      <c r="AC29" s="3"/>
      <c r="AD29" s="3"/>
    </row>
    <row r="30" spans="2:30">
      <c r="B30" s="3"/>
      <c r="C30" s="1"/>
      <c r="D30" s="1"/>
      <c r="E30" s="1"/>
      <c r="F30" s="1"/>
      <c r="G30" s="1"/>
      <c r="H30" s="1"/>
      <c r="I30" s="1"/>
      <c r="J30" s="1"/>
      <c r="K30" s="1"/>
      <c r="L30" s="1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7"/>
      <c r="Z30" s="3"/>
      <c r="AA30" s="3"/>
      <c r="AB30" s="3"/>
      <c r="AC30" s="3"/>
      <c r="AD30" s="3"/>
    </row>
    <row r="31" spans="2:30">
      <c r="B31" s="3"/>
      <c r="C31" s="1"/>
      <c r="D31" s="1"/>
      <c r="E31" s="1"/>
      <c r="F31" s="1"/>
      <c r="G31" s="1"/>
      <c r="H31" s="1"/>
      <c r="I31" s="1"/>
      <c r="J31" s="1"/>
      <c r="K31" s="1"/>
      <c r="L31" s="1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7"/>
      <c r="Z31" s="3"/>
      <c r="AA31" s="3"/>
      <c r="AB31" s="3"/>
      <c r="AC31" s="3"/>
      <c r="AD31" s="3"/>
    </row>
    <row r="32" spans="2:30">
      <c r="B32" s="3"/>
      <c r="C32" s="1"/>
      <c r="D32" s="1"/>
      <c r="E32" s="1"/>
      <c r="F32" s="1"/>
      <c r="G32" s="1"/>
      <c r="H32" s="1"/>
      <c r="I32" s="1"/>
      <c r="J32" s="1"/>
      <c r="K32" s="1"/>
      <c r="L32" s="1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7"/>
      <c r="Z32" s="3"/>
      <c r="AA32" s="3"/>
      <c r="AB32" s="3"/>
      <c r="AC32" s="3"/>
      <c r="AD32" s="3"/>
    </row>
    <row r="33" spans="25:25" s="3" customFormat="1">
      <c r="Y33" s="7"/>
    </row>
    <row r="34" spans="25:25" s="3" customFormat="1">
      <c r="Y34" s="7"/>
    </row>
    <row r="35" spans="25:25" s="3" customFormat="1">
      <c r="Y35" s="7"/>
    </row>
    <row r="36" spans="25:25" s="3" customFormat="1">
      <c r="Y36" s="7"/>
    </row>
    <row r="37" spans="25:25" s="3" customFormat="1">
      <c r="Y37" s="7"/>
    </row>
    <row r="38" spans="25:25" s="3" customFormat="1">
      <c r="Y38" s="7"/>
    </row>
    <row r="39" spans="25:25" s="3" customFormat="1">
      <c r="Y39" s="7"/>
    </row>
    <row r="40" spans="25:25" s="3" customFormat="1">
      <c r="Y40" s="7"/>
    </row>
    <row r="41" spans="25:25" s="3" customFormat="1">
      <c r="Y41" s="7"/>
    </row>
    <row r="42" spans="25:25" s="3" customFormat="1">
      <c r="Y42" s="7"/>
    </row>
    <row r="43" spans="25:25" s="3" customFormat="1">
      <c r="Y43" s="7"/>
    </row>
    <row r="44" spans="25:25" s="3" customFormat="1">
      <c r="Y44" s="7"/>
    </row>
    <row r="45" spans="25:25" s="3" customFormat="1">
      <c r="Y45" s="7"/>
    </row>
    <row r="46" spans="25:25" s="3" customFormat="1">
      <c r="Y46" s="7"/>
    </row>
    <row r="47" spans="25:25" s="3" customFormat="1">
      <c r="Y47" s="7"/>
    </row>
    <row r="48" spans="25:25" s="3" customFormat="1">
      <c r="Y48" s="7"/>
    </row>
    <row r="49" spans="25:25" s="3" customFormat="1">
      <c r="Y49" s="7"/>
    </row>
    <row r="50" spans="25:25" s="3" customFormat="1">
      <c r="Y50" s="7"/>
    </row>
    <row r="51" spans="25:25" s="3" customFormat="1">
      <c r="Y51" s="7"/>
    </row>
    <row r="52" spans="25:25" s="3" customFormat="1">
      <c r="Y52" s="7"/>
    </row>
    <row r="53" spans="25:25" s="3" customFormat="1">
      <c r="Y53" s="7"/>
    </row>
    <row r="54" spans="25:25" s="3" customFormat="1">
      <c r="Y54" s="7"/>
    </row>
    <row r="55" spans="25:25" s="3" customFormat="1">
      <c r="Y55" s="7"/>
    </row>
    <row r="56" spans="25:25" s="3" customFormat="1">
      <c r="Y56" s="7"/>
    </row>
    <row r="57" spans="25:25" s="3" customFormat="1">
      <c r="Y57" s="7"/>
    </row>
    <row r="58" spans="25:25" s="3" customFormat="1">
      <c r="Y58" s="7"/>
    </row>
    <row r="59" spans="25:25" s="3" customFormat="1">
      <c r="Y59" s="7"/>
    </row>
    <row r="60" spans="25:25" s="3" customFormat="1">
      <c r="Y60" s="7"/>
    </row>
    <row r="61" spans="25:25" s="3" customFormat="1">
      <c r="Y61" s="7"/>
    </row>
    <row r="62" spans="25:25" s="3" customFormat="1">
      <c r="Y62" s="7"/>
    </row>
    <row r="63" spans="25:25" s="3" customFormat="1">
      <c r="Y63" s="7"/>
    </row>
    <row r="64" spans="25:25" s="3" customFormat="1">
      <c r="Y64" s="7"/>
    </row>
    <row r="65" spans="25:25" s="3" customFormat="1">
      <c r="Y65" s="7"/>
    </row>
    <row r="66" spans="25:25" s="3" customFormat="1">
      <c r="Y66" s="7"/>
    </row>
    <row r="67" spans="25:25" s="3" customFormat="1">
      <c r="Y67" s="7"/>
    </row>
    <row r="68" spans="25:25" s="3" customFormat="1">
      <c r="Y68" s="7"/>
    </row>
    <row r="69" spans="25:25" s="3" customFormat="1">
      <c r="Y69" s="7"/>
    </row>
    <row r="70" spans="25:25" s="3" customFormat="1">
      <c r="Y70" s="7"/>
    </row>
    <row r="71" spans="25:25" s="3" customFormat="1">
      <c r="Y71" s="7"/>
    </row>
    <row r="72" spans="25:25" s="3" customFormat="1">
      <c r="Y72" s="7"/>
    </row>
    <row r="73" spans="25:25" s="3" customFormat="1">
      <c r="Y73" s="7"/>
    </row>
    <row r="74" spans="25:25" s="3" customFormat="1">
      <c r="Y74" s="7"/>
    </row>
    <row r="75" spans="25:25" s="3" customFormat="1">
      <c r="Y75" s="7"/>
    </row>
    <row r="76" spans="25:25" s="3" customFormat="1">
      <c r="Y76" s="7"/>
    </row>
    <row r="77" spans="25:25" s="3" customFormat="1">
      <c r="Y77" s="7"/>
    </row>
    <row r="78" spans="25:25" s="3" customFormat="1">
      <c r="Y78" s="7"/>
    </row>
    <row r="79" spans="25:25" s="3" customFormat="1">
      <c r="Y79" s="7"/>
    </row>
    <row r="80" spans="25:25" s="3" customFormat="1">
      <c r="Y80" s="7"/>
    </row>
    <row r="81" spans="25:25" s="3" customFormat="1">
      <c r="Y81" s="7"/>
    </row>
    <row r="82" spans="25:25" s="3" customFormat="1">
      <c r="Y82" s="7"/>
    </row>
    <row r="83" spans="25:25" s="3" customFormat="1">
      <c r="Y83" s="7"/>
    </row>
    <row r="84" spans="25:25" s="3" customFormat="1">
      <c r="Y84" s="7"/>
    </row>
    <row r="85" spans="25:25" s="3" customFormat="1">
      <c r="Y85" s="7"/>
    </row>
    <row r="86" spans="25:25" s="3" customFormat="1">
      <c r="Y86" s="7"/>
    </row>
    <row r="87" spans="25:25" s="3" customFormat="1">
      <c r="Y87" s="7"/>
    </row>
    <row r="88" spans="25:25" s="3" customFormat="1">
      <c r="Y88" s="7"/>
    </row>
    <row r="89" spans="25:25" s="3" customFormat="1">
      <c r="Y89" s="7"/>
    </row>
    <row r="90" spans="25:25" s="3" customFormat="1">
      <c r="Y90" s="7"/>
    </row>
    <row r="91" spans="25:25" s="3" customFormat="1">
      <c r="Y91" s="7"/>
    </row>
    <row r="92" spans="25:25" s="3" customFormat="1">
      <c r="Y92" s="7"/>
    </row>
    <row r="93" spans="25:25" s="3" customFormat="1">
      <c r="Y93" s="7"/>
    </row>
    <row r="94" spans="25:25" s="3" customFormat="1">
      <c r="Y94" s="7"/>
    </row>
    <row r="95" spans="25:25" s="3" customFormat="1">
      <c r="Y95" s="7"/>
    </row>
    <row r="96" spans="25:25" s="3" customFormat="1">
      <c r="Y96" s="7"/>
    </row>
    <row r="97" spans="25:25" s="3" customFormat="1">
      <c r="Y97" s="7"/>
    </row>
    <row r="98" spans="25:25" s="3" customFormat="1">
      <c r="Y98" s="7"/>
    </row>
    <row r="99" spans="25:25" s="3" customFormat="1">
      <c r="Y99" s="7"/>
    </row>
    <row r="100" spans="25:25" s="3" customFormat="1">
      <c r="Y100" s="7"/>
    </row>
    <row r="101" spans="25:25" s="3" customFormat="1">
      <c r="Y101" s="7"/>
    </row>
    <row r="102" spans="25:25" s="3" customFormat="1">
      <c r="Y102" s="7"/>
    </row>
    <row r="103" spans="25:25" s="3" customFormat="1">
      <c r="Y103" s="7"/>
    </row>
    <row r="104" spans="25:25" s="3" customFormat="1">
      <c r="Y104" s="7"/>
    </row>
    <row r="105" spans="25:25" s="3" customFormat="1">
      <c r="Y105" s="7"/>
    </row>
    <row r="106" spans="25:25" s="3" customFormat="1">
      <c r="Y106" s="7"/>
    </row>
    <row r="107" spans="25:25" s="3" customFormat="1">
      <c r="Y107" s="7"/>
    </row>
    <row r="108" spans="25:25" s="3" customFormat="1">
      <c r="Y108" s="7"/>
    </row>
    <row r="109" spans="25:25" s="3" customFormat="1">
      <c r="Y109" s="7"/>
    </row>
    <row r="110" spans="25:25" s="3" customFormat="1">
      <c r="Y110" s="7"/>
    </row>
    <row r="111" spans="25:25" s="3" customFormat="1">
      <c r="Y111" s="7"/>
    </row>
    <row r="112" spans="25:25" s="3" customFormat="1">
      <c r="Y112" s="7"/>
    </row>
    <row r="113" spans="25:25" s="3" customFormat="1">
      <c r="Y113" s="7"/>
    </row>
    <row r="114" spans="25:25" s="3" customFormat="1">
      <c r="Y114" s="7"/>
    </row>
    <row r="115" spans="25:25" s="3" customFormat="1">
      <c r="Y115" s="7"/>
    </row>
    <row r="116" spans="25:25" s="3" customFormat="1">
      <c r="Y116" s="7"/>
    </row>
    <row r="117" spans="25:25" s="3" customFormat="1">
      <c r="Y117" s="7"/>
    </row>
    <row r="118" spans="25:25" s="3" customFormat="1">
      <c r="Y118" s="7"/>
    </row>
    <row r="119" spans="25:25" s="3" customFormat="1">
      <c r="Y119" s="7"/>
    </row>
    <row r="120" spans="25:25" s="3" customFormat="1">
      <c r="Y120" s="7"/>
    </row>
    <row r="121" spans="25:25" s="3" customFormat="1">
      <c r="Y121" s="7"/>
    </row>
    <row r="122" spans="25:25" s="3" customFormat="1">
      <c r="Y122" s="7"/>
    </row>
    <row r="123" spans="25:25" s="3" customFormat="1">
      <c r="Y123" s="7"/>
    </row>
    <row r="124" spans="25:25" s="3" customFormat="1">
      <c r="Y124" s="7"/>
    </row>
    <row r="125" spans="25:25" s="3" customFormat="1">
      <c r="Y125" s="7"/>
    </row>
    <row r="126" spans="25:25" s="3" customFormat="1">
      <c r="Y126" s="7"/>
    </row>
    <row r="127" spans="25:25" s="3" customFormat="1">
      <c r="Y127" s="7"/>
    </row>
    <row r="128" spans="25:25" s="3" customFormat="1">
      <c r="Y128" s="7"/>
    </row>
    <row r="129" spans="25:25" s="3" customFormat="1">
      <c r="Y129" s="7"/>
    </row>
    <row r="130" spans="25:25" s="3" customFormat="1">
      <c r="Y130" s="7"/>
    </row>
    <row r="131" spans="25:25" s="3" customFormat="1">
      <c r="Y131" s="7"/>
    </row>
    <row r="132" spans="25:25" s="3" customFormat="1">
      <c r="Y132" s="7"/>
    </row>
    <row r="133" spans="25:25" s="3" customFormat="1">
      <c r="Y133" s="7"/>
    </row>
    <row r="134" spans="25:25" s="3" customFormat="1">
      <c r="Y134" s="7"/>
    </row>
    <row r="135" spans="25:25" s="3" customFormat="1">
      <c r="Y135" s="7"/>
    </row>
    <row r="136" spans="25:25" s="3" customFormat="1">
      <c r="Y136" s="7"/>
    </row>
    <row r="137" spans="25:25" s="3" customFormat="1">
      <c r="Y137" s="7"/>
    </row>
    <row r="138" spans="25:25" s="3" customFormat="1">
      <c r="Y138" s="7"/>
    </row>
    <row r="139" spans="25:25" s="3" customFormat="1">
      <c r="Y139" s="7"/>
    </row>
    <row r="140" spans="25:25" s="3" customFormat="1">
      <c r="Y140" s="7"/>
    </row>
    <row r="141" spans="25:25" s="3" customFormat="1">
      <c r="Y141" s="7"/>
    </row>
    <row r="142" spans="25:25" s="3" customFormat="1">
      <c r="Y142" s="7"/>
    </row>
    <row r="143" spans="25:25" s="3" customFormat="1">
      <c r="Y143" s="7"/>
    </row>
    <row r="144" spans="25:25" s="3" customFormat="1">
      <c r="Y144" s="7"/>
    </row>
    <row r="145" spans="25:25" s="3" customFormat="1">
      <c r="Y145" s="7"/>
    </row>
    <row r="146" spans="25:25" s="3" customFormat="1">
      <c r="Y146" s="7"/>
    </row>
    <row r="147" spans="25:25" s="3" customFormat="1">
      <c r="Y147" s="7"/>
    </row>
    <row r="148" spans="25:25" s="3" customFormat="1">
      <c r="Y148" s="7"/>
    </row>
    <row r="149" spans="25:25" s="3" customFormat="1">
      <c r="Y149" s="7"/>
    </row>
    <row r="150" spans="25:25" s="3" customFormat="1">
      <c r="Y150" s="7"/>
    </row>
    <row r="151" spans="25:25" s="3" customFormat="1">
      <c r="Y151" s="7"/>
    </row>
    <row r="152" spans="25:25" s="3" customFormat="1">
      <c r="Y152" s="7"/>
    </row>
    <row r="153" spans="25:25" s="3" customFormat="1">
      <c r="Y153" s="7"/>
    </row>
    <row r="154" spans="25:25" s="3" customFormat="1">
      <c r="Y154" s="7"/>
    </row>
    <row r="155" spans="25:25" s="3" customFormat="1">
      <c r="Y155" s="7"/>
    </row>
    <row r="156" spans="25:25" s="3" customFormat="1">
      <c r="Y156" s="7"/>
    </row>
    <row r="157" spans="25:25" s="3" customFormat="1">
      <c r="Y157" s="7"/>
    </row>
    <row r="158" spans="25:25" s="3" customFormat="1">
      <c r="Y158" s="7"/>
    </row>
    <row r="159" spans="25:25" s="3" customFormat="1">
      <c r="Y159" s="7"/>
    </row>
    <row r="160" spans="25:25" s="3" customFormat="1">
      <c r="Y160" s="7"/>
    </row>
    <row r="161" spans="25:25" s="3" customFormat="1">
      <c r="Y161" s="7"/>
    </row>
    <row r="162" spans="25:25" s="3" customFormat="1">
      <c r="Y162" s="7"/>
    </row>
    <row r="163" spans="25:25" s="3" customFormat="1">
      <c r="Y163" s="7"/>
    </row>
    <row r="164" spans="25:25" s="3" customFormat="1">
      <c r="Y164" s="7"/>
    </row>
    <row r="165" spans="25:25" s="3" customFormat="1">
      <c r="Y165" s="7"/>
    </row>
    <row r="166" spans="25:25" s="3" customFormat="1">
      <c r="Y166" s="7"/>
    </row>
    <row r="167" spans="25:25" s="3" customFormat="1">
      <c r="Y167" s="7"/>
    </row>
    <row r="168" spans="25:25" s="3" customFormat="1">
      <c r="Y168" s="7"/>
    </row>
    <row r="169" spans="25:25" s="3" customFormat="1">
      <c r="Y169" s="7"/>
    </row>
    <row r="170" spans="25:25" s="3" customFormat="1">
      <c r="Y170" s="7"/>
    </row>
    <row r="171" spans="25:25" s="3" customFormat="1">
      <c r="Y171" s="7"/>
    </row>
    <row r="172" spans="25:25" s="3" customFormat="1">
      <c r="Y172" s="7"/>
    </row>
    <row r="173" spans="25:25" s="3" customFormat="1">
      <c r="Y173" s="7"/>
    </row>
    <row r="174" spans="25:25" s="3" customFormat="1">
      <c r="Y174" s="7"/>
    </row>
    <row r="175" spans="25:25" s="3" customFormat="1">
      <c r="Y175" s="7"/>
    </row>
    <row r="176" spans="25:25" s="3" customFormat="1">
      <c r="Y176" s="7"/>
    </row>
    <row r="177" spans="25:25" s="3" customFormat="1">
      <c r="Y177" s="7"/>
    </row>
    <row r="178" spans="25:25" s="3" customFormat="1">
      <c r="Y178" s="7"/>
    </row>
    <row r="179" spans="25:25" s="3" customFormat="1">
      <c r="Y179" s="7"/>
    </row>
    <row r="180" spans="25:25" s="3" customFormat="1">
      <c r="Y180" s="7"/>
    </row>
    <row r="181" spans="25:25" s="3" customFormat="1">
      <c r="Y181" s="7"/>
    </row>
    <row r="182" spans="25:25" s="3" customFormat="1">
      <c r="Y182" s="7"/>
    </row>
    <row r="183" spans="25:25" s="3" customFormat="1">
      <c r="Y183" s="7"/>
    </row>
    <row r="184" spans="25:25" s="3" customFormat="1">
      <c r="Y184" s="7"/>
    </row>
    <row r="185" spans="25:25" s="3" customFormat="1">
      <c r="Y185" s="7"/>
    </row>
    <row r="186" spans="25:25" s="3" customFormat="1">
      <c r="Y186" s="7"/>
    </row>
    <row r="187" spans="25:25" s="3" customFormat="1">
      <c r="Y187" s="7"/>
    </row>
    <row r="188" spans="25:25" s="3" customFormat="1">
      <c r="Y188" s="7"/>
    </row>
    <row r="189" spans="25:25" s="3" customFormat="1">
      <c r="Y189" s="7"/>
    </row>
    <row r="190" spans="25:25" s="3" customFormat="1">
      <c r="Y190" s="7"/>
    </row>
    <row r="191" spans="25:25" s="3" customFormat="1">
      <c r="Y191" s="7"/>
    </row>
    <row r="192" spans="25:25" s="3" customFormat="1">
      <c r="Y192" s="7"/>
    </row>
    <row r="193" spans="25:25" s="3" customFormat="1">
      <c r="Y193" s="7"/>
    </row>
    <row r="194" spans="25:25" s="3" customFormat="1">
      <c r="Y194" s="7"/>
    </row>
    <row r="195" spans="25:25" s="3" customFormat="1">
      <c r="Y195" s="7"/>
    </row>
    <row r="196" spans="25:25" s="3" customFormat="1">
      <c r="Y196" s="7"/>
    </row>
    <row r="197" spans="25:25" s="3" customFormat="1">
      <c r="Y197" s="7"/>
    </row>
    <row r="198" spans="25:25" s="3" customFormat="1">
      <c r="Y198" s="7"/>
    </row>
    <row r="199" spans="25:25" s="3" customFormat="1">
      <c r="Y199" s="7"/>
    </row>
    <row r="200" spans="25:25" s="3" customFormat="1">
      <c r="Y200" s="7"/>
    </row>
    <row r="201" spans="25:25" s="3" customFormat="1">
      <c r="Y201" s="7"/>
    </row>
    <row r="202" spans="25:25" s="3" customFormat="1">
      <c r="Y202" s="7"/>
    </row>
    <row r="203" spans="25:25" s="3" customFormat="1">
      <c r="Y203" s="7"/>
    </row>
    <row r="204" spans="25:25" s="3" customFormat="1">
      <c r="Y204" s="7"/>
    </row>
    <row r="205" spans="25:25" s="3" customFormat="1">
      <c r="Y205" s="7"/>
    </row>
    <row r="206" spans="25:25" s="3" customFormat="1">
      <c r="Y206" s="7"/>
    </row>
    <row r="207" spans="25:25" s="3" customFormat="1">
      <c r="Y207" s="7"/>
    </row>
    <row r="208" spans="25:25" s="3" customFormat="1">
      <c r="Y208" s="7"/>
    </row>
    <row r="209" spans="25:25" s="3" customFormat="1">
      <c r="Y209" s="7"/>
    </row>
    <row r="210" spans="25:25" s="3" customFormat="1">
      <c r="Y210" s="7"/>
    </row>
    <row r="211" spans="25:25" s="3" customFormat="1">
      <c r="Y211" s="7"/>
    </row>
    <row r="212" spans="25:25" s="3" customFormat="1">
      <c r="Y212" s="7"/>
    </row>
    <row r="213" spans="25:25" s="3" customFormat="1">
      <c r="Y213" s="7"/>
    </row>
    <row r="214" spans="25:25" s="3" customFormat="1">
      <c r="Y214" s="7"/>
    </row>
    <row r="215" spans="25:25" s="3" customFormat="1">
      <c r="Y215" s="7"/>
    </row>
    <row r="216" spans="25:25" s="3" customFormat="1">
      <c r="Y216" s="7"/>
    </row>
    <row r="217" spans="25:25" s="3" customFormat="1">
      <c r="Y217" s="7"/>
    </row>
    <row r="218" spans="25:25" s="3" customFormat="1">
      <c r="Y218" s="7"/>
    </row>
    <row r="219" spans="25:25" s="3" customFormat="1">
      <c r="Y219" s="7"/>
    </row>
    <row r="220" spans="25:25" s="3" customFormat="1">
      <c r="Y220" s="7"/>
    </row>
    <row r="221" spans="25:25" s="3" customFormat="1">
      <c r="Y221" s="7"/>
    </row>
    <row r="222" spans="25:25" s="3" customFormat="1">
      <c r="Y222" s="7"/>
    </row>
    <row r="223" spans="25:25" s="3" customFormat="1">
      <c r="Y223" s="7"/>
    </row>
    <row r="224" spans="25:25" s="3" customFormat="1">
      <c r="Y224" s="7"/>
    </row>
    <row r="225" spans="25:25" s="3" customFormat="1">
      <c r="Y225" s="7"/>
    </row>
    <row r="226" spans="25:25" s="3" customFormat="1">
      <c r="Y226" s="7"/>
    </row>
    <row r="227" spans="25:25" s="3" customFormat="1">
      <c r="Y227" s="7"/>
    </row>
    <row r="228" spans="25:25" s="3" customFormat="1">
      <c r="Y228" s="7"/>
    </row>
    <row r="229" spans="25:25" s="3" customFormat="1">
      <c r="Y229" s="7"/>
    </row>
    <row r="230" spans="25:25" s="3" customFormat="1">
      <c r="Y230" s="7"/>
    </row>
    <row r="231" spans="25:25" s="3" customFormat="1">
      <c r="Y231" s="7"/>
    </row>
    <row r="232" spans="25:25" s="3" customFormat="1">
      <c r="Y232" s="7"/>
    </row>
    <row r="233" spans="25:25" s="3" customFormat="1">
      <c r="Y233" s="7"/>
    </row>
    <row r="234" spans="25:25" s="3" customFormat="1">
      <c r="Y234" s="7"/>
    </row>
    <row r="235" spans="25:25" s="3" customFormat="1">
      <c r="Y235" s="7"/>
    </row>
    <row r="236" spans="25:25" s="3" customFormat="1">
      <c r="Y236" s="7"/>
    </row>
    <row r="237" spans="25:25" s="3" customFormat="1">
      <c r="Y237" s="7"/>
    </row>
    <row r="238" spans="25:25" s="3" customFormat="1">
      <c r="Y238" s="7"/>
    </row>
    <row r="239" spans="25:25" s="3" customFormat="1">
      <c r="Y239" s="7"/>
    </row>
    <row r="240" spans="25:25" s="3" customFormat="1">
      <c r="Y240" s="7"/>
    </row>
    <row r="241" spans="25:25" s="3" customFormat="1">
      <c r="Y241" s="7"/>
    </row>
    <row r="242" spans="25:25" s="3" customFormat="1">
      <c r="Y242" s="7"/>
    </row>
    <row r="243" spans="25:25" s="3" customFormat="1">
      <c r="Y243" s="7"/>
    </row>
    <row r="244" spans="25:25" s="3" customFormat="1">
      <c r="Y244" s="7"/>
    </row>
    <row r="245" spans="25:25" s="3" customFormat="1">
      <c r="Y245" s="7"/>
    </row>
    <row r="246" spans="25:25" s="3" customFormat="1">
      <c r="Y246" s="7"/>
    </row>
    <row r="247" spans="25:25" s="3" customFormat="1">
      <c r="Y247" s="7"/>
    </row>
    <row r="248" spans="25:25" s="3" customFormat="1">
      <c r="Y248" s="7"/>
    </row>
    <row r="249" spans="25:25" s="3" customFormat="1">
      <c r="Y249" s="7"/>
    </row>
    <row r="250" spans="25:25" s="3" customFormat="1">
      <c r="Y250" s="7"/>
    </row>
    <row r="251" spans="25:25" s="3" customFormat="1">
      <c r="Y251" s="7"/>
    </row>
    <row r="252" spans="25:25" s="3" customFormat="1">
      <c r="Y252" s="7"/>
    </row>
    <row r="253" spans="25:25" s="3" customFormat="1">
      <c r="Y253" s="7"/>
    </row>
    <row r="254" spans="25:25" s="3" customFormat="1">
      <c r="Y254" s="7"/>
    </row>
    <row r="255" spans="25:25" s="3" customFormat="1">
      <c r="Y255" s="7"/>
    </row>
    <row r="256" spans="25:25" s="3" customFormat="1">
      <c r="Y256" s="7"/>
    </row>
    <row r="257" spans="25:25" s="3" customFormat="1">
      <c r="Y257" s="7"/>
    </row>
    <row r="258" spans="25:25" s="3" customFormat="1">
      <c r="Y258" s="7"/>
    </row>
    <row r="259" spans="25:25" s="3" customFormat="1">
      <c r="Y259" s="7"/>
    </row>
    <row r="260" spans="25:25" s="3" customFormat="1">
      <c r="Y260" s="7"/>
    </row>
    <row r="261" spans="25:25" s="3" customFormat="1">
      <c r="Y261" s="7"/>
    </row>
    <row r="262" spans="25:25" s="3" customFormat="1">
      <c r="Y262" s="7"/>
    </row>
    <row r="263" spans="25:25" s="3" customFormat="1">
      <c r="Y263" s="7"/>
    </row>
    <row r="264" spans="25:25" s="3" customFormat="1">
      <c r="Y264" s="7"/>
    </row>
    <row r="265" spans="25:25" s="3" customFormat="1">
      <c r="Y265" s="7"/>
    </row>
    <row r="266" spans="25:25" s="3" customFormat="1">
      <c r="Y266" s="7"/>
    </row>
    <row r="267" spans="25:25" s="3" customFormat="1">
      <c r="Y267" s="7"/>
    </row>
    <row r="268" spans="25:25" s="3" customFormat="1">
      <c r="Y268" s="7"/>
    </row>
    <row r="269" spans="25:25" s="3" customFormat="1">
      <c r="Y269" s="7"/>
    </row>
    <row r="270" spans="25:25" s="3" customFormat="1">
      <c r="Y270" s="7"/>
    </row>
    <row r="271" spans="25:25" s="3" customFormat="1">
      <c r="Y271" s="7"/>
    </row>
    <row r="272" spans="25:25" s="3" customFormat="1">
      <c r="Y272" s="7"/>
    </row>
    <row r="273" spans="25:25" s="3" customFormat="1">
      <c r="Y273" s="7"/>
    </row>
    <row r="274" spans="25:25" s="3" customFormat="1">
      <c r="Y274" s="7"/>
    </row>
    <row r="275" spans="25:25" s="3" customFormat="1">
      <c r="Y275" s="7"/>
    </row>
    <row r="276" spans="25:25" s="3" customFormat="1">
      <c r="Y276" s="7"/>
    </row>
    <row r="277" spans="25:25" s="3" customFormat="1">
      <c r="Y277" s="7"/>
    </row>
    <row r="278" spans="25:25" s="3" customFormat="1">
      <c r="Y278" s="7"/>
    </row>
    <row r="279" spans="25:25" s="3" customFormat="1">
      <c r="Y279" s="7"/>
    </row>
    <row r="280" spans="25:25" s="3" customFormat="1">
      <c r="Y280" s="7"/>
    </row>
    <row r="281" spans="25:25" s="3" customFormat="1">
      <c r="Y281" s="7"/>
    </row>
    <row r="282" spans="25:25" s="3" customFormat="1">
      <c r="Y282" s="7"/>
    </row>
    <row r="283" spans="25:25" s="3" customFormat="1">
      <c r="Y283" s="7"/>
    </row>
    <row r="284" spans="25:25" s="3" customFormat="1">
      <c r="Y284" s="7"/>
    </row>
    <row r="285" spans="25:25" s="3" customFormat="1">
      <c r="Y285" s="7"/>
    </row>
    <row r="286" spans="25:25" s="3" customFormat="1">
      <c r="Y286" s="7"/>
    </row>
    <row r="287" spans="25:25" s="3" customFormat="1">
      <c r="Y287" s="7"/>
    </row>
    <row r="288" spans="25:25" s="3" customFormat="1">
      <c r="Y288" s="7"/>
    </row>
    <row r="289" spans="25:25" s="3" customFormat="1">
      <c r="Y289" s="7"/>
    </row>
    <row r="290" spans="25:25" s="3" customFormat="1">
      <c r="Y290" s="7"/>
    </row>
    <row r="291" spans="25:25" s="3" customFormat="1">
      <c r="Y291" s="7"/>
    </row>
    <row r="292" spans="25:25" s="3" customFormat="1">
      <c r="Y292" s="7"/>
    </row>
    <row r="293" spans="25:25" s="3" customFormat="1">
      <c r="Y293" s="7"/>
    </row>
    <row r="294" spans="25:25" s="3" customFormat="1">
      <c r="Y294" s="7"/>
    </row>
    <row r="295" spans="25:25" s="3" customFormat="1">
      <c r="Y295" s="7"/>
    </row>
    <row r="296" spans="25:25" s="3" customFormat="1">
      <c r="Y296" s="7"/>
    </row>
    <row r="297" spans="25:25" s="3" customFormat="1">
      <c r="Y297" s="7"/>
    </row>
    <row r="298" spans="25:25" s="3" customFormat="1">
      <c r="Y298" s="7"/>
    </row>
    <row r="299" spans="25:25" s="3" customFormat="1">
      <c r="Y299" s="7"/>
    </row>
    <row r="300" spans="25:25" s="3" customFormat="1">
      <c r="Y300" s="7"/>
    </row>
    <row r="301" spans="25:25" s="3" customFormat="1">
      <c r="Y301" s="7"/>
    </row>
    <row r="302" spans="25:25" s="3" customFormat="1">
      <c r="Y302" s="7"/>
    </row>
    <row r="303" spans="25:25" s="3" customFormat="1">
      <c r="Y303" s="7"/>
    </row>
    <row r="304" spans="25:25" s="3" customFormat="1">
      <c r="Y304" s="7"/>
    </row>
    <row r="305" spans="25:25" s="3" customFormat="1">
      <c r="Y305" s="7"/>
    </row>
    <row r="306" spans="25:25" s="3" customFormat="1">
      <c r="Y306" s="7"/>
    </row>
    <row r="307" spans="25:25" s="3" customFormat="1">
      <c r="Y307" s="7"/>
    </row>
    <row r="308" spans="25:25" s="3" customFormat="1">
      <c r="Y308" s="7"/>
    </row>
    <row r="309" spans="25:25" s="3" customFormat="1">
      <c r="Y309" s="7"/>
    </row>
    <row r="310" spans="25:25" s="3" customFormat="1">
      <c r="Y310" s="7"/>
    </row>
    <row r="311" spans="25:25" s="3" customFormat="1">
      <c r="Y311" s="7"/>
    </row>
    <row r="312" spans="25:25" s="3" customFormat="1">
      <c r="Y312" s="7"/>
    </row>
    <row r="313" spans="25:25" s="3" customFormat="1">
      <c r="Y313" s="7"/>
    </row>
    <row r="314" spans="25:25" s="3" customFormat="1">
      <c r="Y314" s="7"/>
    </row>
    <row r="315" spans="25:25" s="3" customFormat="1">
      <c r="Y315" s="7"/>
    </row>
    <row r="316" spans="25:25" s="3" customFormat="1">
      <c r="Y316" s="7"/>
    </row>
    <row r="317" spans="25:25" s="3" customFormat="1">
      <c r="Y317" s="7"/>
    </row>
    <row r="318" spans="25:25" s="3" customFormat="1">
      <c r="Y318" s="7"/>
    </row>
    <row r="319" spans="25:25" s="3" customFormat="1">
      <c r="Y319" s="7"/>
    </row>
    <row r="320" spans="25:25" s="3" customFormat="1">
      <c r="Y320" s="7"/>
    </row>
    <row r="321" spans="25:25" s="3" customFormat="1">
      <c r="Y321" s="7"/>
    </row>
    <row r="322" spans="25:25" s="3" customFormat="1">
      <c r="Y322" s="7"/>
    </row>
    <row r="323" spans="25:25" s="3" customFormat="1">
      <c r="Y323" s="7"/>
    </row>
    <row r="324" spans="25:25" s="3" customFormat="1">
      <c r="Y324" s="7"/>
    </row>
    <row r="325" spans="25:25" s="3" customFormat="1">
      <c r="Y325" s="7"/>
    </row>
    <row r="326" spans="25:25" s="3" customFormat="1">
      <c r="Y326" s="7"/>
    </row>
    <row r="327" spans="25:25" s="3" customFormat="1">
      <c r="Y327" s="7"/>
    </row>
    <row r="328" spans="25:25" s="3" customFormat="1">
      <c r="Y328" s="7"/>
    </row>
    <row r="329" spans="25:25" s="3" customFormat="1">
      <c r="Y329" s="7"/>
    </row>
    <row r="330" spans="25:25" s="3" customFormat="1">
      <c r="Y330" s="7"/>
    </row>
    <row r="331" spans="25:25" s="3" customFormat="1">
      <c r="Y331" s="7"/>
    </row>
    <row r="332" spans="25:25" s="3" customFormat="1">
      <c r="Y332" s="7"/>
    </row>
    <row r="333" spans="25:25" s="3" customFormat="1">
      <c r="Y333" s="7"/>
    </row>
    <row r="334" spans="25:25" s="3" customFormat="1">
      <c r="Y334" s="7"/>
    </row>
    <row r="335" spans="25:25" s="3" customFormat="1">
      <c r="Y335" s="7"/>
    </row>
    <row r="336" spans="25:25" s="3" customFormat="1">
      <c r="Y336" s="7"/>
    </row>
    <row r="337" spans="25:25" s="3" customFormat="1">
      <c r="Y337" s="7"/>
    </row>
    <row r="338" spans="25:25" s="3" customFormat="1">
      <c r="Y338" s="7"/>
    </row>
    <row r="339" spans="25:25" s="3" customFormat="1">
      <c r="Y339" s="7"/>
    </row>
    <row r="340" spans="25:25" s="3" customFormat="1">
      <c r="Y340" s="7"/>
    </row>
    <row r="341" spans="25:25" s="3" customFormat="1">
      <c r="Y341" s="7"/>
    </row>
    <row r="342" spans="25:25" s="3" customFormat="1">
      <c r="Y342" s="7"/>
    </row>
    <row r="343" spans="25:25" s="3" customFormat="1">
      <c r="Y343" s="7"/>
    </row>
    <row r="344" spans="25:25" s="3" customFormat="1">
      <c r="Y344" s="7"/>
    </row>
    <row r="345" spans="25:25" s="3" customFormat="1">
      <c r="Y345" s="7"/>
    </row>
    <row r="346" spans="25:25" s="3" customFormat="1">
      <c r="Y346" s="7"/>
    </row>
    <row r="347" spans="25:25" s="3" customFormat="1">
      <c r="Y347" s="7"/>
    </row>
    <row r="348" spans="25:25" s="3" customFormat="1">
      <c r="Y348" s="7"/>
    </row>
    <row r="349" spans="25:25" s="3" customFormat="1">
      <c r="Y349" s="7"/>
    </row>
    <row r="350" spans="25:25" s="3" customFormat="1">
      <c r="Y350" s="7"/>
    </row>
    <row r="351" spans="25:25" s="3" customFormat="1">
      <c r="Y351" s="7"/>
    </row>
    <row r="352" spans="25:25" s="3" customFormat="1">
      <c r="Y352" s="7"/>
    </row>
    <row r="353" spans="25:25" s="3" customFormat="1">
      <c r="Y353" s="7"/>
    </row>
    <row r="354" spans="25:25" s="3" customFormat="1">
      <c r="Y354" s="7"/>
    </row>
    <row r="355" spans="25:25" s="3" customFormat="1">
      <c r="Y355" s="7"/>
    </row>
    <row r="356" spans="25:25" s="3" customFormat="1">
      <c r="Y356" s="7"/>
    </row>
    <row r="357" spans="25:25" s="3" customFormat="1">
      <c r="Y357" s="7"/>
    </row>
    <row r="358" spans="25:25" s="3" customFormat="1">
      <c r="Y358" s="7"/>
    </row>
    <row r="359" spans="25:25" s="3" customFormat="1">
      <c r="Y359" s="7"/>
    </row>
    <row r="360" spans="25:25" s="3" customFormat="1">
      <c r="Y360" s="7"/>
    </row>
    <row r="361" spans="25:25" s="3" customFormat="1">
      <c r="Y361" s="7"/>
    </row>
    <row r="362" spans="25:25" s="3" customFormat="1">
      <c r="Y362" s="7"/>
    </row>
    <row r="363" spans="25:25" s="3" customFormat="1">
      <c r="Y363" s="7"/>
    </row>
    <row r="364" spans="25:25" s="3" customFormat="1">
      <c r="Y364" s="7"/>
    </row>
    <row r="365" spans="25:25" s="3" customFormat="1">
      <c r="Y365" s="7"/>
    </row>
    <row r="366" spans="25:25" s="3" customFormat="1">
      <c r="Y366" s="7"/>
    </row>
    <row r="367" spans="25:25" s="3" customFormat="1">
      <c r="Y367" s="7"/>
    </row>
    <row r="368" spans="25:25" s="3" customFormat="1">
      <c r="Y368" s="7"/>
    </row>
    <row r="369" spans="25:25" s="3" customFormat="1">
      <c r="Y369" s="7"/>
    </row>
    <row r="370" spans="25:25" s="3" customFormat="1">
      <c r="Y370" s="7"/>
    </row>
    <row r="371" spans="25:25" s="3" customFormat="1">
      <c r="Y371" s="7"/>
    </row>
    <row r="372" spans="25:25" s="3" customFormat="1">
      <c r="Y372" s="7"/>
    </row>
    <row r="373" spans="25:25" s="3" customFormat="1">
      <c r="Y373" s="7"/>
    </row>
    <row r="374" spans="25:25" s="3" customFormat="1">
      <c r="Y374" s="7"/>
    </row>
    <row r="375" spans="25:25" s="3" customFormat="1">
      <c r="Y375" s="7"/>
    </row>
    <row r="376" spans="25:25" s="3" customFormat="1">
      <c r="Y376" s="7"/>
    </row>
    <row r="377" spans="25:25" s="3" customFormat="1">
      <c r="Y377" s="7"/>
    </row>
    <row r="378" spans="25:25" s="3" customFormat="1">
      <c r="Y378" s="7"/>
    </row>
    <row r="379" spans="25:25" s="3" customFormat="1">
      <c r="Y379" s="7"/>
    </row>
    <row r="380" spans="25:25" s="3" customFormat="1">
      <c r="Y380" s="7"/>
    </row>
    <row r="381" spans="25:25" s="3" customFormat="1">
      <c r="Y381" s="7"/>
    </row>
    <row r="382" spans="25:25" s="3" customFormat="1">
      <c r="Y382" s="7"/>
    </row>
    <row r="383" spans="25:25" s="3" customFormat="1">
      <c r="Y383" s="7"/>
    </row>
    <row r="384" spans="25:25" s="3" customFormat="1">
      <c r="Y384" s="7"/>
    </row>
    <row r="385" spans="25:25" s="3" customFormat="1">
      <c r="Y385" s="7"/>
    </row>
    <row r="386" spans="25:25" s="3" customFormat="1">
      <c r="Y386" s="7"/>
    </row>
    <row r="387" spans="25:25" s="3" customFormat="1">
      <c r="Y387" s="7"/>
    </row>
    <row r="388" spans="25:25" s="3" customFormat="1">
      <c r="Y388" s="7"/>
    </row>
    <row r="389" spans="25:25" s="3" customFormat="1">
      <c r="Y389" s="7"/>
    </row>
    <row r="390" spans="25:25" s="3" customFormat="1">
      <c r="Y390" s="7"/>
    </row>
    <row r="391" spans="25:25" s="3" customFormat="1">
      <c r="Y391" s="7"/>
    </row>
    <row r="392" spans="25:25" s="3" customFormat="1">
      <c r="Y392" s="7"/>
    </row>
    <row r="393" spans="25:25" s="3" customFormat="1">
      <c r="Y393" s="7"/>
    </row>
    <row r="394" spans="25:25" s="3" customFormat="1">
      <c r="Y394" s="7"/>
    </row>
    <row r="395" spans="25:25" s="3" customFormat="1">
      <c r="Y395" s="7"/>
    </row>
    <row r="396" spans="25:25" s="3" customFormat="1">
      <c r="Y396" s="7"/>
    </row>
    <row r="397" spans="25:25" s="3" customFormat="1">
      <c r="Y397" s="7"/>
    </row>
    <row r="398" spans="25:25" s="3" customFormat="1">
      <c r="Y398" s="7"/>
    </row>
    <row r="399" spans="25:25" s="3" customFormat="1">
      <c r="Y399" s="7"/>
    </row>
    <row r="400" spans="25:25" s="3" customFormat="1">
      <c r="Y400" s="7"/>
    </row>
    <row r="401" spans="25:25" s="3" customFormat="1">
      <c r="Y401" s="7"/>
    </row>
    <row r="402" spans="25:25" s="3" customFormat="1">
      <c r="Y402" s="7"/>
    </row>
    <row r="403" spans="25:25" s="3" customFormat="1">
      <c r="Y403" s="7"/>
    </row>
    <row r="404" spans="25:25" s="3" customFormat="1">
      <c r="Y404" s="7"/>
    </row>
    <row r="405" spans="25:25" s="3" customFormat="1">
      <c r="Y405" s="7"/>
    </row>
    <row r="406" spans="25:25" s="3" customFormat="1">
      <c r="Y406" s="7"/>
    </row>
    <row r="407" spans="25:25" s="3" customFormat="1">
      <c r="Y407" s="7"/>
    </row>
    <row r="408" spans="25:25" s="3" customFormat="1">
      <c r="Y408" s="7"/>
    </row>
    <row r="409" spans="25:25" s="3" customFormat="1">
      <c r="Y409" s="7"/>
    </row>
    <row r="410" spans="25:25" s="3" customFormat="1">
      <c r="Y410" s="7"/>
    </row>
    <row r="411" spans="25:25" s="3" customFormat="1">
      <c r="Y411" s="7"/>
    </row>
    <row r="412" spans="25:25" s="3" customFormat="1">
      <c r="Y412" s="7"/>
    </row>
    <row r="413" spans="25:25" s="3" customFormat="1">
      <c r="Y413" s="7"/>
    </row>
    <row r="414" spans="25:25" s="3" customFormat="1">
      <c r="Y414" s="7"/>
    </row>
    <row r="415" spans="25:25" s="3" customFormat="1">
      <c r="Y415" s="7"/>
    </row>
    <row r="416" spans="25:25" s="3" customFormat="1">
      <c r="Y416" s="7"/>
    </row>
    <row r="417" spans="25:25" s="3" customFormat="1">
      <c r="Y417" s="7"/>
    </row>
    <row r="418" spans="25:25" s="3" customFormat="1">
      <c r="Y418" s="7"/>
    </row>
    <row r="419" spans="25:25" s="3" customFormat="1">
      <c r="Y419" s="7"/>
    </row>
    <row r="420" spans="25:25" s="3" customFormat="1">
      <c r="Y420" s="7"/>
    </row>
    <row r="421" spans="25:25" s="3" customFormat="1">
      <c r="Y421" s="7"/>
    </row>
    <row r="422" spans="25:25" s="3" customFormat="1">
      <c r="Y422" s="7"/>
    </row>
    <row r="423" spans="25:25" s="3" customFormat="1">
      <c r="Y423" s="7"/>
    </row>
    <row r="424" spans="25:25" s="3" customFormat="1">
      <c r="Y424" s="7"/>
    </row>
    <row r="425" spans="25:25" s="3" customFormat="1">
      <c r="Y425" s="7"/>
    </row>
    <row r="426" spans="25:25" s="3" customFormat="1">
      <c r="Y426" s="7"/>
    </row>
    <row r="427" spans="25:25" s="3" customFormat="1">
      <c r="Y427" s="7"/>
    </row>
    <row r="428" spans="25:25" s="3" customFormat="1">
      <c r="Y428" s="7"/>
    </row>
    <row r="429" spans="25:25" s="3" customFormat="1">
      <c r="Y429" s="7"/>
    </row>
    <row r="430" spans="25:25" s="3" customFormat="1">
      <c r="Y430" s="7"/>
    </row>
    <row r="431" spans="25:25" s="3" customFormat="1">
      <c r="Y431" s="7"/>
    </row>
    <row r="432" spans="25:25" s="3" customFormat="1">
      <c r="Y432" s="7"/>
    </row>
    <row r="433" spans="25:25" s="3" customFormat="1">
      <c r="Y433" s="7"/>
    </row>
    <row r="434" spans="25:25" s="3" customFormat="1">
      <c r="Y434" s="7"/>
    </row>
    <row r="435" spans="25:25" s="3" customFormat="1">
      <c r="Y435" s="7"/>
    </row>
    <row r="436" spans="25:25" s="3" customFormat="1">
      <c r="Y436" s="7"/>
    </row>
    <row r="437" spans="25:25" s="3" customFormat="1">
      <c r="Y437" s="7"/>
    </row>
    <row r="438" spans="25:25" s="3" customFormat="1">
      <c r="Y438" s="7"/>
    </row>
    <row r="439" spans="25:25" s="3" customFormat="1">
      <c r="Y439" s="7"/>
    </row>
    <row r="440" spans="25:25" s="3" customFormat="1">
      <c r="Y440" s="7"/>
    </row>
    <row r="441" spans="25:25" s="3" customFormat="1">
      <c r="Y441" s="7"/>
    </row>
    <row r="442" spans="25:25" s="3" customFormat="1">
      <c r="Y442" s="7"/>
    </row>
    <row r="443" spans="25:25" s="3" customFormat="1">
      <c r="Y443" s="7"/>
    </row>
    <row r="444" spans="25:25" s="3" customFormat="1">
      <c r="Y444" s="7"/>
    </row>
    <row r="445" spans="25:25" s="3" customFormat="1">
      <c r="Y445" s="7"/>
    </row>
    <row r="446" spans="25:25" s="3" customFormat="1">
      <c r="Y446" s="7"/>
    </row>
    <row r="447" spans="25:25" s="3" customFormat="1">
      <c r="Y447" s="7"/>
    </row>
    <row r="448" spans="25:25" s="3" customFormat="1">
      <c r="Y448" s="7"/>
    </row>
    <row r="449" spans="25:25" s="3" customFormat="1">
      <c r="Y449" s="7"/>
    </row>
    <row r="450" spans="25:25" s="3" customFormat="1">
      <c r="Y450" s="7"/>
    </row>
    <row r="451" spans="25:25" s="3" customFormat="1">
      <c r="Y451" s="7"/>
    </row>
    <row r="452" spans="25:25" s="3" customFormat="1">
      <c r="Y452" s="7"/>
    </row>
    <row r="453" spans="25:25" s="3" customFormat="1">
      <c r="Y453" s="7"/>
    </row>
    <row r="454" spans="25:25" s="3" customFormat="1">
      <c r="Y454" s="7"/>
    </row>
    <row r="455" spans="25:25" s="3" customFormat="1">
      <c r="Y455" s="7"/>
    </row>
    <row r="456" spans="25:25" s="3" customFormat="1">
      <c r="Y456" s="7"/>
    </row>
    <row r="457" spans="25:25" s="3" customFormat="1">
      <c r="Y457" s="7"/>
    </row>
    <row r="458" spans="25:25" s="3" customFormat="1">
      <c r="Y458" s="7"/>
    </row>
    <row r="459" spans="25:25" s="3" customFormat="1">
      <c r="Y459" s="7"/>
    </row>
    <row r="460" spans="25:25" s="3" customFormat="1">
      <c r="Y460" s="7"/>
    </row>
    <row r="461" spans="25:25" s="3" customFormat="1">
      <c r="Y461" s="7"/>
    </row>
    <row r="462" spans="25:25" s="3" customFormat="1">
      <c r="Y462" s="7"/>
    </row>
    <row r="463" spans="25:25" s="3" customFormat="1">
      <c r="Y463" s="7"/>
    </row>
    <row r="464" spans="25:25" s="3" customFormat="1">
      <c r="Y464" s="7"/>
    </row>
    <row r="465" spans="25:25" s="3" customFormat="1">
      <c r="Y465" s="7"/>
    </row>
    <row r="466" spans="25:25" s="3" customFormat="1">
      <c r="Y466" s="7"/>
    </row>
    <row r="467" spans="25:25" s="3" customFormat="1">
      <c r="Y467" s="7"/>
    </row>
    <row r="468" spans="25:25" s="3" customFormat="1">
      <c r="Y468" s="7"/>
    </row>
    <row r="469" spans="25:25" s="3" customFormat="1">
      <c r="Y469" s="7"/>
    </row>
    <row r="470" spans="25:25" s="3" customFormat="1">
      <c r="Y470" s="7"/>
    </row>
    <row r="471" spans="25:25" s="3" customFormat="1">
      <c r="Y471" s="7"/>
    </row>
    <row r="472" spans="25:25" s="3" customFormat="1">
      <c r="Y472" s="7"/>
    </row>
    <row r="473" spans="25:25" s="3" customFormat="1">
      <c r="Y473" s="7"/>
    </row>
    <row r="474" spans="25:25" s="3" customFormat="1">
      <c r="Y474" s="7"/>
    </row>
    <row r="475" spans="25:25" s="3" customFormat="1">
      <c r="Y475" s="7"/>
    </row>
    <row r="476" spans="25:25" s="3" customFormat="1">
      <c r="Y476" s="7"/>
    </row>
    <row r="477" spans="25:25" s="3" customFormat="1">
      <c r="Y477" s="7"/>
    </row>
    <row r="478" spans="25:25" s="3" customFormat="1">
      <c r="Y478" s="7"/>
    </row>
    <row r="479" spans="25:25" s="3" customFormat="1">
      <c r="Y479" s="7"/>
    </row>
    <row r="480" spans="25:25" s="3" customFormat="1">
      <c r="Y480" s="7"/>
    </row>
    <row r="481" spans="25:25" s="3" customFormat="1">
      <c r="Y481" s="7"/>
    </row>
    <row r="482" spans="25:25" s="3" customFormat="1">
      <c r="Y482" s="7"/>
    </row>
    <row r="483" spans="25:25" s="3" customFormat="1">
      <c r="Y483" s="7"/>
    </row>
    <row r="484" spans="25:25" s="3" customFormat="1">
      <c r="Y484" s="7"/>
    </row>
    <row r="485" spans="25:25" s="3" customFormat="1">
      <c r="Y485" s="7"/>
    </row>
    <row r="486" spans="25:25" s="3" customFormat="1">
      <c r="Y486" s="7"/>
    </row>
    <row r="487" spans="25:25" s="3" customFormat="1">
      <c r="Y487" s="7"/>
    </row>
    <row r="488" spans="25:25" s="3" customFormat="1">
      <c r="Y488" s="7"/>
    </row>
    <row r="489" spans="25:25" s="3" customFormat="1">
      <c r="Y489" s="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AC37"/>
  <sheetViews>
    <sheetView showGridLines="0" zoomScale="70" zoomScaleNormal="70" workbookViewId="0"/>
  </sheetViews>
  <sheetFormatPr defaultRowHeight="14.5"/>
  <cols>
    <col min="1" max="1" width="7.54296875" customWidth="1"/>
    <col min="3" max="3" width="9.1796875" customWidth="1"/>
    <col min="25" max="25" width="9.1796875" style="2"/>
    <col min="26" max="28" width="9.1796875" style="1"/>
    <col min="29" max="29" width="10.26953125" style="1" customWidth="1"/>
  </cols>
  <sheetData>
    <row r="2" spans="2:24" ht="15" customHeight="1">
      <c r="C2" s="4"/>
      <c r="D2" s="4"/>
      <c r="E2" s="4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5"/>
      <c r="T2" s="5"/>
      <c r="U2" s="5"/>
      <c r="V2" s="5"/>
      <c r="W2" s="5"/>
    </row>
    <row r="3" spans="2:24" ht="15" customHeight="1">
      <c r="C3" s="4"/>
      <c r="D3" s="4"/>
      <c r="E3" s="4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5"/>
      <c r="T3" s="5"/>
      <c r="U3" s="5"/>
      <c r="V3" s="5"/>
      <c r="W3" s="5"/>
    </row>
    <row r="4" spans="2:24" ht="15" customHeight="1">
      <c r="C4" s="4"/>
      <c r="D4" s="4"/>
      <c r="E4" s="4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5"/>
      <c r="T4" s="5"/>
      <c r="U4" s="5"/>
      <c r="V4" s="5"/>
      <c r="W4" s="5"/>
    </row>
    <row r="11" spans="2:24">
      <c r="W11" s="1"/>
      <c r="X11" s="1"/>
    </row>
    <row r="12" spans="2:24">
      <c r="W12" s="1"/>
      <c r="X12" s="1"/>
    </row>
    <row r="13" spans="2:24">
      <c r="W13" s="1"/>
      <c r="X13" s="1"/>
    </row>
    <row r="14" spans="2:24">
      <c r="W14" s="1"/>
      <c r="X14" s="1"/>
    </row>
    <row r="15" spans="2:24">
      <c r="W15" s="1"/>
      <c r="X15" s="1"/>
    </row>
    <row r="16" spans="2:24">
      <c r="B16" s="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2:24">
      <c r="B17" s="3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2:24">
      <c r="B18" s="3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2:24">
      <c r="B19" s="3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2:24">
      <c r="B20" s="3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2:24">
      <c r="B21" s="3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2:24">
      <c r="B22" s="3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2:24">
      <c r="B23" s="3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2:24">
      <c r="B24" s="3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2:24">
      <c r="B25" s="3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2:24">
      <c r="B26" s="3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2:24">
      <c r="B27" s="3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2:24">
      <c r="B28" s="3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2:24">
      <c r="B29" s="3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2:24">
      <c r="B30" s="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2:24">
      <c r="B31" s="3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2:24">
      <c r="B32" s="3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5" s="1" customFormat="1">
      <c r="Y36" s="2"/>
    </row>
    <row r="37" spans="1:25" s="1" customFormat="1">
      <c r="Y37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AC37"/>
  <sheetViews>
    <sheetView showGridLines="0" zoomScale="70" zoomScaleNormal="70" workbookViewId="0"/>
  </sheetViews>
  <sheetFormatPr defaultRowHeight="14.5"/>
  <cols>
    <col min="1" max="1" width="7.54296875" customWidth="1"/>
    <col min="3" max="3" width="9.1796875" customWidth="1"/>
    <col min="25" max="25" width="9.1796875" style="2"/>
    <col min="26" max="28" width="9.1796875" style="1"/>
    <col min="29" max="29" width="10.26953125" style="1" customWidth="1"/>
  </cols>
  <sheetData>
    <row r="2" spans="2:24" ht="15" customHeight="1">
      <c r="C2" s="4"/>
      <c r="D2" s="4"/>
      <c r="E2" s="4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5"/>
      <c r="T2" s="5"/>
      <c r="U2" s="5"/>
      <c r="V2" s="5"/>
      <c r="W2" s="5"/>
    </row>
    <row r="3" spans="2:24" ht="15" customHeight="1">
      <c r="C3" s="4"/>
      <c r="D3" s="4"/>
      <c r="E3" s="4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5"/>
      <c r="T3" s="5"/>
      <c r="U3" s="5"/>
      <c r="V3" s="5"/>
      <c r="W3" s="5"/>
    </row>
    <row r="4" spans="2:24" ht="15" customHeight="1">
      <c r="C4" s="4"/>
      <c r="D4" s="4"/>
      <c r="E4" s="4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5"/>
      <c r="T4" s="5"/>
      <c r="U4" s="5"/>
      <c r="V4" s="5"/>
      <c r="W4" s="5"/>
    </row>
    <row r="11" spans="2:24">
      <c r="W11" s="1"/>
      <c r="X11" s="1"/>
    </row>
    <row r="12" spans="2:24">
      <c r="W12" s="1"/>
      <c r="X12" s="1"/>
    </row>
    <row r="13" spans="2:24">
      <c r="W13" s="1"/>
      <c r="X13" s="1"/>
    </row>
    <row r="14" spans="2:24">
      <c r="W14" s="1"/>
      <c r="X14" s="1"/>
    </row>
    <row r="15" spans="2:24">
      <c r="W15" s="1"/>
      <c r="X15" s="1"/>
    </row>
    <row r="16" spans="2:24">
      <c r="B16" s="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2:24">
      <c r="B17" s="3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2:24">
      <c r="B18" s="3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2:24">
      <c r="B19" s="3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2:24">
      <c r="B20" s="3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2:24">
      <c r="B21" s="3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2:24">
      <c r="B22" s="3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2:24">
      <c r="B23" s="3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2:24">
      <c r="B24" s="3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2:24">
      <c r="B25" s="3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2:24">
      <c r="B26" s="3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2:24">
      <c r="B27" s="3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2:24">
      <c r="B28" s="3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2:24">
      <c r="B29" s="3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2:24">
      <c r="B30" s="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2:24">
      <c r="B31" s="3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2:24">
      <c r="B32" s="3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5" s="1" customFormat="1">
      <c r="Y36" s="2"/>
    </row>
    <row r="37" spans="1:25" s="1" customFormat="1">
      <c r="Y37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AC37"/>
  <sheetViews>
    <sheetView showGridLines="0" tabSelected="1" zoomScale="70" zoomScaleNormal="70" workbookViewId="0"/>
  </sheetViews>
  <sheetFormatPr defaultRowHeight="14.5"/>
  <cols>
    <col min="1" max="1" width="7.54296875" customWidth="1"/>
    <col min="3" max="3" width="9.1796875" customWidth="1"/>
    <col min="25" max="25" width="9.1796875" style="2"/>
    <col min="26" max="28" width="9.1796875" style="1"/>
    <col min="29" max="29" width="10.26953125" style="1" customWidth="1"/>
  </cols>
  <sheetData>
    <row r="2" spans="2:24" ht="15" customHeight="1">
      <c r="C2" s="4"/>
      <c r="D2" s="4"/>
      <c r="E2" s="4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5"/>
      <c r="T2" s="5"/>
      <c r="U2" s="5"/>
      <c r="V2" s="5"/>
      <c r="W2" s="5"/>
    </row>
    <row r="3" spans="2:24" ht="15" customHeight="1">
      <c r="C3" s="4"/>
      <c r="D3" s="4"/>
      <c r="E3" s="4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5"/>
      <c r="T3" s="5"/>
      <c r="U3" s="5"/>
      <c r="V3" s="5"/>
      <c r="W3" s="5"/>
    </row>
    <row r="4" spans="2:24" ht="15" customHeight="1">
      <c r="C4" s="4"/>
      <c r="D4" s="4"/>
      <c r="E4" s="4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5"/>
      <c r="T4" s="5"/>
      <c r="U4" s="5"/>
      <c r="V4" s="5"/>
      <c r="W4" s="5"/>
    </row>
    <row r="11" spans="2:24">
      <c r="W11" s="1"/>
      <c r="X11" s="1"/>
    </row>
    <row r="12" spans="2:24">
      <c r="W12" s="1"/>
      <c r="X12" s="1"/>
    </row>
    <row r="13" spans="2:24">
      <c r="W13" s="1"/>
      <c r="X13" s="1"/>
    </row>
    <row r="14" spans="2:24">
      <c r="W14" s="1"/>
      <c r="X14" s="1"/>
    </row>
    <row r="15" spans="2:24">
      <c r="W15" s="1"/>
      <c r="X15" s="1"/>
    </row>
    <row r="16" spans="2:24">
      <c r="B16" s="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2:24">
      <c r="B17" s="3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2:24">
      <c r="B18" s="3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2:24">
      <c r="B19" s="3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2:24">
      <c r="B20" s="3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2:24">
      <c r="B21" s="3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2:24">
      <c r="B22" s="3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2:24">
      <c r="B23" s="3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2:24">
      <c r="B24" s="3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2:24">
      <c r="B25" s="3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2:24">
      <c r="B26" s="3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2:24">
      <c r="B27" s="3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2:24">
      <c r="B28" s="3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2:24">
      <c r="B29" s="3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2:24">
      <c r="B30" s="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2:24">
      <c r="B31" s="3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2:24">
      <c r="B32" s="3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5" s="1" customFormat="1">
      <c r="Y36" s="2"/>
    </row>
    <row r="37" spans="1:25" s="1" customFormat="1">
      <c r="Y37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AC118"/>
  <sheetViews>
    <sheetView showGridLines="0" topLeftCell="A4" zoomScale="85" zoomScaleNormal="85" workbookViewId="0">
      <selection activeCell="H26" sqref="H26"/>
    </sheetView>
  </sheetViews>
  <sheetFormatPr defaultRowHeight="14.5"/>
  <cols>
    <col min="1" max="1" width="3.1796875" customWidth="1"/>
    <col min="2" max="2" width="18.1796875" style="1" customWidth="1"/>
    <col min="3" max="3" width="18.54296875" style="1" customWidth="1"/>
    <col min="4" max="4" width="14" style="1" customWidth="1"/>
    <col min="5" max="5" width="12.26953125" style="1" customWidth="1"/>
    <col min="6" max="6" width="18.453125" style="1" customWidth="1"/>
    <col min="7" max="7" width="12" style="1" customWidth="1"/>
    <col min="8" max="8" width="16" style="1" customWidth="1"/>
    <col min="9" max="9" width="11.453125" style="1" customWidth="1"/>
    <col min="10" max="10" width="5.81640625" style="1" customWidth="1"/>
    <col min="11" max="11" width="7.26953125" customWidth="1"/>
    <col min="15" max="15" width="8.81640625" customWidth="1"/>
    <col min="25" max="25" width="9.1796875" style="2"/>
    <col min="26" max="28" width="9.1796875" style="1"/>
    <col min="29" max="29" width="10.26953125" style="1" customWidth="1"/>
  </cols>
  <sheetData>
    <row r="1" spans="1:29" ht="22.5" customHeight="1" thickBot="1">
      <c r="A1">
        <v>1</v>
      </c>
    </row>
    <row r="2" spans="1:29" ht="18.5" thickBot="1">
      <c r="C2" s="113" t="s">
        <v>70</v>
      </c>
      <c r="D2" s="103"/>
      <c r="E2" s="87"/>
      <c r="F2" s="213"/>
      <c r="G2" s="213"/>
      <c r="H2" s="213"/>
      <c r="I2" s="213"/>
      <c r="J2" s="213"/>
      <c r="K2" s="213"/>
    </row>
    <row r="3" spans="1:29" s="2" customFormat="1" ht="15" customHeight="1" thickBot="1">
      <c r="A3"/>
      <c r="B3" s="1"/>
      <c r="C3" s="88"/>
      <c r="D3" s="88"/>
      <c r="E3" s="89"/>
      <c r="F3" s="90"/>
      <c r="G3" s="90"/>
      <c r="H3" s="90"/>
      <c r="I3" s="90"/>
      <c r="J3" s="90"/>
      <c r="K3" s="90"/>
      <c r="L3" s="25"/>
      <c r="M3" s="25"/>
      <c r="N3" s="25"/>
      <c r="O3" s="25"/>
      <c r="P3" s="6"/>
      <c r="Q3" s="6"/>
      <c r="R3" s="6"/>
      <c r="S3" s="100"/>
      <c r="T3" s="5"/>
      <c r="U3" s="5"/>
      <c r="V3" s="5"/>
      <c r="W3" s="5"/>
      <c r="X3"/>
      <c r="Z3" s="1"/>
      <c r="AA3" s="1"/>
      <c r="AB3" s="1"/>
      <c r="AC3" s="1"/>
    </row>
    <row r="4" spans="1:29" s="2" customFormat="1" ht="15" customHeight="1" thickBot="1">
      <c r="A4"/>
      <c r="B4" s="1"/>
      <c r="C4" s="231" t="s">
        <v>71</v>
      </c>
      <c r="D4" s="232"/>
      <c r="E4" s="232"/>
      <c r="F4" s="232"/>
      <c r="G4" s="232"/>
      <c r="H4" s="232"/>
      <c r="I4" s="232"/>
      <c r="J4" s="233"/>
      <c r="K4" s="101"/>
      <c r="L4" s="27"/>
      <c r="M4" s="25"/>
      <c r="N4" s="28"/>
      <c r="O4" s="28"/>
      <c r="P4" s="24"/>
      <c r="Q4" s="24"/>
      <c r="R4" s="24"/>
      <c r="S4" s="5"/>
      <c r="T4" s="5"/>
      <c r="U4" s="5"/>
      <c r="V4" s="5"/>
      <c r="W4" s="5"/>
      <c r="X4"/>
      <c r="Z4" s="1"/>
      <c r="AA4" s="1"/>
      <c r="AB4" s="1"/>
      <c r="AC4" s="1"/>
    </row>
    <row r="5" spans="1:29" s="2" customFormat="1" ht="15" customHeight="1">
      <c r="A5"/>
      <c r="B5" s="1"/>
      <c r="C5" s="114" t="s">
        <v>72</v>
      </c>
      <c r="D5" s="234"/>
      <c r="E5" s="235"/>
      <c r="F5" s="235"/>
      <c r="G5" s="235"/>
      <c r="H5" s="235"/>
      <c r="I5" s="235"/>
      <c r="J5" s="236"/>
      <c r="K5" s="102"/>
      <c r="L5" s="27"/>
      <c r="M5" s="25"/>
      <c r="N5" s="28"/>
      <c r="O5" s="29"/>
      <c r="P5" s="24"/>
      <c r="Q5" s="24"/>
      <c r="R5" s="24"/>
      <c r="S5" s="5"/>
      <c r="T5" s="5"/>
      <c r="U5" s="5"/>
      <c r="V5" s="5"/>
      <c r="W5" s="5"/>
      <c r="X5"/>
      <c r="Z5" s="1"/>
      <c r="AA5" s="1"/>
      <c r="AB5" s="1"/>
      <c r="AC5" s="1"/>
    </row>
    <row r="6" spans="1:29" ht="15" thickBot="1">
      <c r="C6" s="115" t="s">
        <v>73</v>
      </c>
      <c r="D6" s="214"/>
      <c r="E6" s="215"/>
      <c r="F6" s="216" t="s">
        <v>74</v>
      </c>
      <c r="G6" s="217"/>
      <c r="H6" s="237"/>
      <c r="I6" s="238"/>
      <c r="J6" s="239"/>
      <c r="K6" s="102"/>
      <c r="L6" s="30"/>
      <c r="M6" s="30"/>
      <c r="N6" s="30"/>
      <c r="O6" s="30"/>
    </row>
    <row r="8" spans="1:29" ht="15" customHeight="1" thickBot="1">
      <c r="B8" s="230"/>
      <c r="C8" s="230"/>
      <c r="D8" s="230"/>
      <c r="E8" s="2"/>
      <c r="F8" s="230"/>
      <c r="G8" s="230"/>
      <c r="H8" s="230"/>
    </row>
    <row r="9" spans="1:29" s="2" customFormat="1" ht="16" thickBot="1">
      <c r="A9"/>
      <c r="B9" s="218" t="s">
        <v>75</v>
      </c>
      <c r="C9" s="219"/>
      <c r="D9" s="219"/>
      <c r="E9" s="219"/>
      <c r="F9" s="219"/>
      <c r="G9" s="219"/>
      <c r="H9" s="219"/>
      <c r="I9" s="219"/>
      <c r="J9" s="220"/>
      <c r="K9"/>
      <c r="L9" s="221" t="s">
        <v>76</v>
      </c>
      <c r="M9" s="222"/>
      <c r="N9" s="222"/>
      <c r="O9" s="222"/>
      <c r="P9" s="222"/>
      <c r="Q9" s="223"/>
      <c r="R9" s="1"/>
      <c r="S9" s="1"/>
      <c r="T9" s="1"/>
      <c r="U9" s="1"/>
      <c r="V9" s="1"/>
      <c r="W9" s="1"/>
      <c r="X9" s="1"/>
      <c r="Z9" s="1"/>
      <c r="AA9" s="1"/>
      <c r="AB9" s="1"/>
      <c r="AC9" s="1"/>
    </row>
    <row r="10" spans="1:29" s="2" customFormat="1" ht="15" thickBot="1">
      <c r="A10"/>
      <c r="B10" s="116" t="s">
        <v>105</v>
      </c>
      <c r="C10" s="227" t="s">
        <v>77</v>
      </c>
      <c r="D10" s="228"/>
      <c r="E10" s="229"/>
      <c r="F10" s="116" t="s">
        <v>78</v>
      </c>
      <c r="G10" s="116" t="s">
        <v>79</v>
      </c>
      <c r="H10" s="116" t="s">
        <v>80</v>
      </c>
      <c r="I10" s="227" t="s">
        <v>81</v>
      </c>
      <c r="J10" s="229"/>
      <c r="K10"/>
      <c r="L10" s="224"/>
      <c r="M10" s="225"/>
      <c r="N10" s="225"/>
      <c r="O10" s="225"/>
      <c r="P10" s="225"/>
      <c r="Q10" s="226"/>
      <c r="R10" s="1"/>
      <c r="S10" s="1"/>
      <c r="T10" s="1"/>
      <c r="U10" s="1"/>
      <c r="V10" s="1"/>
      <c r="W10" s="1"/>
      <c r="X10" s="1"/>
      <c r="Z10" s="1"/>
      <c r="AA10" s="1"/>
      <c r="AB10" s="1"/>
      <c r="AC10" s="1"/>
    </row>
    <row r="11" spans="1:29" s="2" customFormat="1">
      <c r="A11"/>
      <c r="B11" s="110">
        <v>2000</v>
      </c>
      <c r="C11" s="191" t="str">
        <f>IF(B11&lt;&gt;"",VLOOKUP(B11,PRODUTOS_PEDIDOS!$B$11:$E$36,2,FALSE),"")</f>
        <v>Mouse Óptico sem fio Microsoft</v>
      </c>
      <c r="D11" s="192"/>
      <c r="E11" s="193"/>
      <c r="F11" s="104" t="str">
        <f>IF(B11&lt;&gt;"",VLOOKUP(B11,PRODUTOS_PEDIDOS!$B$11:$E$36,4,FALSE),"")</f>
        <v>Informática</v>
      </c>
      <c r="G11" s="105">
        <v>10</v>
      </c>
      <c r="H11" s="108">
        <f>IF(B11&lt;&gt;"",VLOOKUP(B11,PRODUTOS_PEDIDOS!$B$11:$E$36,3,FALSE),"")</f>
        <v>65</v>
      </c>
      <c r="I11" s="194">
        <f>IF(OR(G11="",H11=""),"",PRODUCT(G11:H11))</f>
        <v>650</v>
      </c>
      <c r="J11" s="195"/>
      <c r="K11"/>
      <c r="L11" s="208" t="s">
        <v>82</v>
      </c>
      <c r="M11" s="209"/>
      <c r="N11" s="209"/>
      <c r="O11" s="210"/>
      <c r="P11" s="211">
        <f>SMALL(H11:H19,2)</f>
        <v>65</v>
      </c>
      <c r="Q11" s="212"/>
      <c r="R11" s="1"/>
      <c r="S11" s="1"/>
      <c r="T11" s="1"/>
      <c r="U11" s="1"/>
      <c r="V11" s="1"/>
      <c r="W11" s="1"/>
      <c r="X11" s="1"/>
      <c r="Z11" s="1"/>
      <c r="AA11" s="1"/>
      <c r="AB11" s="1"/>
      <c r="AC11" s="1"/>
    </row>
    <row r="12" spans="1:29" s="2" customFormat="1">
      <c r="A12"/>
      <c r="B12" s="111">
        <v>2000</v>
      </c>
      <c r="C12" s="191" t="str">
        <f>IF(B12&lt;&gt;"",VLOOKUP(B12,PRODUTOS_PEDIDOS!$B$11:$E$36,2,FALSE),"")</f>
        <v>Mouse Óptico sem fio Microsoft</v>
      </c>
      <c r="D12" s="192"/>
      <c r="E12" s="193"/>
      <c r="F12" s="104" t="str">
        <f>IF(B12&lt;&gt;"",VLOOKUP(B12,PRODUTOS_PEDIDOS!$B$11:$E$36,4,FALSE),"")</f>
        <v>Informática</v>
      </c>
      <c r="G12" s="106">
        <v>25</v>
      </c>
      <c r="H12" s="108">
        <f>IF(B12&lt;&gt;"",VLOOKUP(B12,PRODUTOS_PEDIDOS!$B$11:$E$36,3,FALSE),"")</f>
        <v>65</v>
      </c>
      <c r="I12" s="194">
        <f t="shared" ref="I12:I19" si="0">IF(OR(G12="",H12=""),"",PRODUCT(G12:H12))</f>
        <v>1625</v>
      </c>
      <c r="J12" s="195"/>
      <c r="K12"/>
      <c r="L12" s="203" t="s">
        <v>83</v>
      </c>
      <c r="M12" s="204"/>
      <c r="N12" s="204"/>
      <c r="O12" s="205"/>
      <c r="P12" s="206">
        <f>LARGE(H11:H19,4)</f>
        <v>190</v>
      </c>
      <c r="Q12" s="207"/>
      <c r="R12" s="1"/>
      <c r="S12" s="1"/>
      <c r="T12" s="1"/>
      <c r="U12" s="1"/>
      <c r="V12" s="1"/>
      <c r="W12" s="1"/>
      <c r="X12" s="1"/>
      <c r="Z12" s="1"/>
      <c r="AA12" s="1"/>
      <c r="AB12" s="1"/>
      <c r="AC12" s="1"/>
    </row>
    <row r="13" spans="1:29" s="2" customFormat="1">
      <c r="A13"/>
      <c r="B13" s="111">
        <v>2002</v>
      </c>
      <c r="C13" s="191" t="str">
        <f>IF(B13&lt;&gt;"",VLOOKUP(B13,PRODUTOS_PEDIDOS!$B$11:$E$36,2,FALSE),"")</f>
        <v>Notebook Dell</v>
      </c>
      <c r="D13" s="192"/>
      <c r="E13" s="193"/>
      <c r="F13" s="104" t="str">
        <f>IF(B13&lt;&gt;"",VLOOKUP(B13,PRODUTOS_PEDIDOS!$B$11:$E$36,4,FALSE),"")</f>
        <v>Informática</v>
      </c>
      <c r="G13" s="106">
        <v>12</v>
      </c>
      <c r="H13" s="108">
        <f>IF(B13&lt;&gt;"",VLOOKUP(B13,PRODUTOS_PEDIDOS!$B$11:$E$36,3,FALSE),"")</f>
        <v>1890</v>
      </c>
      <c r="I13" s="194">
        <f t="shared" si="0"/>
        <v>22680</v>
      </c>
      <c r="J13" s="195"/>
      <c r="K13"/>
      <c r="L13" s="203" t="s">
        <v>84</v>
      </c>
      <c r="M13" s="204"/>
      <c r="N13" s="204"/>
      <c r="O13" s="205"/>
      <c r="P13" s="206">
        <f>AVERAGE(I11:J19)</f>
        <v>5880.5</v>
      </c>
      <c r="Q13" s="207"/>
      <c r="R13" s="1"/>
      <c r="S13" s="1"/>
      <c r="T13" s="1"/>
      <c r="U13" s="1"/>
      <c r="V13" s="1"/>
      <c r="W13" s="1"/>
      <c r="X13" s="1"/>
      <c r="Z13" s="1"/>
      <c r="AA13" s="1"/>
      <c r="AB13" s="1"/>
      <c r="AC13" s="1"/>
    </row>
    <row r="14" spans="1:29" s="2" customFormat="1">
      <c r="A14"/>
      <c r="B14" s="111">
        <v>2018</v>
      </c>
      <c r="C14" s="191" t="str">
        <f>IF(B14&lt;&gt;"",VLOOKUP(B14,PRODUTOS_PEDIDOS!$B$11:$E$36,2,FALSE),"")</f>
        <v>Antena de TV DHTV - Benq</v>
      </c>
      <c r="D14" s="192"/>
      <c r="E14" s="193"/>
      <c r="F14" s="104" t="str">
        <f>IF(B14&lt;&gt;"",VLOOKUP(B14,PRODUTOS_PEDIDOS!$B$11:$E$36,4,FALSE),"")</f>
        <v>Eletrônicos</v>
      </c>
      <c r="G14" s="106">
        <v>5</v>
      </c>
      <c r="H14" s="108">
        <f>IF(B14&lt;&gt;"",VLOOKUP(B14,PRODUTOS_PEDIDOS!$B$11:$E$36,3,FALSE),"")</f>
        <v>190</v>
      </c>
      <c r="I14" s="194">
        <f t="shared" si="0"/>
        <v>950</v>
      </c>
      <c r="J14" s="195"/>
      <c r="K14"/>
      <c r="L14" s="203" t="s">
        <v>85</v>
      </c>
      <c r="M14" s="204"/>
      <c r="N14" s="204"/>
      <c r="O14" s="205"/>
      <c r="P14" s="206">
        <f>SUMIF(F11:F19,"Informática",I11:J19)</f>
        <v>24955</v>
      </c>
      <c r="Q14" s="207"/>
      <c r="R14" s="1"/>
      <c r="S14" s="1"/>
      <c r="T14" s="1"/>
      <c r="U14" s="1"/>
      <c r="V14" s="1"/>
      <c r="W14" s="1"/>
      <c r="X14" s="1"/>
      <c r="Z14" s="1"/>
      <c r="AA14" s="1"/>
      <c r="AB14" s="1"/>
      <c r="AC14" s="1"/>
    </row>
    <row r="15" spans="1:29" s="2" customFormat="1">
      <c r="A15"/>
      <c r="B15" s="111">
        <v>2014</v>
      </c>
      <c r="C15" s="191" t="str">
        <f>IF(B15&lt;&gt;"",VLOOKUP(B15,PRODUTOS_PEDIDOS!$B$11:$E$36,2,FALSE),"")</f>
        <v>TV Led 40'' Samsung</v>
      </c>
      <c r="D15" s="192"/>
      <c r="E15" s="193"/>
      <c r="F15" s="104" t="str">
        <f>IF(B15&lt;&gt;"",VLOOKUP(B15,PRODUTOS_PEDIDOS!$B$11:$E$36,4,FALSE),"")</f>
        <v>Eletrônicos</v>
      </c>
      <c r="G15" s="106">
        <v>2</v>
      </c>
      <c r="H15" s="108">
        <f>IF(B15&lt;&gt;"",VLOOKUP(B15,PRODUTOS_PEDIDOS!$B$11:$E$36,3,FALSE),"")</f>
        <v>3190</v>
      </c>
      <c r="I15" s="194">
        <f t="shared" si="0"/>
        <v>6380</v>
      </c>
      <c r="J15" s="195"/>
      <c r="K15"/>
      <c r="L15" s="203" t="s">
        <v>86</v>
      </c>
      <c r="M15" s="204"/>
      <c r="N15" s="204"/>
      <c r="O15" s="205"/>
      <c r="P15" s="206">
        <f>SUMIF(F11:F19,"Telefonia",I11:J19)</f>
        <v>2998</v>
      </c>
      <c r="Q15" s="207"/>
      <c r="R15" s="1"/>
      <c r="S15" s="1"/>
      <c r="T15" s="1"/>
      <c r="U15" s="1"/>
      <c r="V15" s="1"/>
      <c r="W15" s="1"/>
      <c r="X15" s="1"/>
      <c r="Z15" s="1"/>
      <c r="AA15" s="1"/>
      <c r="AB15" s="1"/>
      <c r="AC15" s="1"/>
    </row>
    <row r="16" spans="1:29" s="2" customFormat="1">
      <c r="A16"/>
      <c r="B16" s="111">
        <v>2004</v>
      </c>
      <c r="C16" s="191" t="str">
        <f>IF(B16&lt;&gt;"",VLOOKUP(B16,PRODUTOS_PEDIDOS!$B$11:$E$36,2,FALSE),"")</f>
        <v>Smartphone Nokia N8</v>
      </c>
      <c r="D16" s="192"/>
      <c r="E16" s="193"/>
      <c r="F16" s="104" t="str">
        <f>IF(B16&lt;&gt;"",VLOOKUP(B16,PRODUTOS_PEDIDOS!$B$11:$E$36,4,FALSE),"")</f>
        <v>Telefonia</v>
      </c>
      <c r="G16" s="106">
        <v>2</v>
      </c>
      <c r="H16" s="108">
        <f>IF(B16&lt;&gt;"",VLOOKUP(B16,PRODUTOS_PEDIDOS!$B$11:$E$36,3,FALSE),"")</f>
        <v>1499</v>
      </c>
      <c r="I16" s="194">
        <f t="shared" si="0"/>
        <v>2998</v>
      </c>
      <c r="J16" s="195"/>
      <c r="K16"/>
      <c r="L16" s="203" t="s">
        <v>87</v>
      </c>
      <c r="M16" s="204"/>
      <c r="N16" s="204"/>
      <c r="O16" s="205"/>
      <c r="P16" s="206">
        <f>SUMIF(F11:F19,"Eletrônicos",I11:J19)</f>
        <v>7330</v>
      </c>
      <c r="Q16" s="207"/>
      <c r="R16" s="1"/>
      <c r="S16" s="1"/>
      <c r="T16" s="1"/>
      <c r="U16" s="1"/>
      <c r="V16" s="1"/>
      <c r="W16" s="1"/>
      <c r="X16" s="1"/>
      <c r="Z16" s="1"/>
      <c r="AA16" s="1"/>
      <c r="AB16" s="1"/>
      <c r="AC16" s="1"/>
    </row>
    <row r="17" spans="1:29" s="2" customFormat="1">
      <c r="A17"/>
      <c r="B17" s="111"/>
      <c r="C17" s="191" t="str">
        <f>IF(B17&lt;&gt;"",VLOOKUP(B17,PRODUTOS_PEDIDOS!$B$11:$E$36,2,FALSE),"")</f>
        <v/>
      </c>
      <c r="D17" s="192"/>
      <c r="E17" s="193"/>
      <c r="F17" s="104" t="str">
        <f>IF(B17&lt;&gt;"",VLOOKUP(B17,PRODUTOS_PEDIDOS!$B$11:$E$36,4,FALSE),"")</f>
        <v/>
      </c>
      <c r="G17" s="106"/>
      <c r="H17" s="108" t="str">
        <f>IF(B17&lt;&gt;"",VLOOKUP(B17,PRODUTOS_PEDIDOS!$B$11:$E$36,3,FALSE),"")</f>
        <v/>
      </c>
      <c r="I17" s="194" t="str">
        <f t="shared" si="0"/>
        <v/>
      </c>
      <c r="J17" s="195"/>
      <c r="K17"/>
      <c r="L17" s="203" t="s">
        <v>88</v>
      </c>
      <c r="M17" s="204"/>
      <c r="N17" s="204"/>
      <c r="O17" s="205"/>
      <c r="P17" s="201">
        <f>SUMIF(F11:F19,"Informática",G11:G19)</f>
        <v>47</v>
      </c>
      <c r="Q17" s="202"/>
      <c r="R17" s="161">
        <f>COUNTIF(F11:F19,"Informática")</f>
        <v>3</v>
      </c>
      <c r="S17" s="1"/>
      <c r="T17" s="1"/>
      <c r="U17" s="1"/>
      <c r="V17" s="1"/>
      <c r="W17" s="1"/>
      <c r="X17" s="1"/>
      <c r="Z17" s="1"/>
      <c r="AA17" s="1"/>
      <c r="AB17" s="1"/>
      <c r="AC17" s="1"/>
    </row>
    <row r="18" spans="1:29" s="2" customFormat="1">
      <c r="A18"/>
      <c r="B18" s="111"/>
      <c r="C18" s="191" t="str">
        <f>IF(B18&lt;&gt;"",VLOOKUP(B18,PRODUTOS_PEDIDOS!$B$11:$E$36,2,FALSE),"")</f>
        <v/>
      </c>
      <c r="D18" s="192"/>
      <c r="E18" s="193"/>
      <c r="F18" s="104" t="str">
        <f>IF(B18&lt;&gt;"",VLOOKUP(B18,PRODUTOS_PEDIDOS!$B$11:$E$36,4,FALSE),"")</f>
        <v/>
      </c>
      <c r="G18" s="106"/>
      <c r="H18" s="108" t="str">
        <f>IF(B18&lt;&gt;"",VLOOKUP(B18,PRODUTOS_PEDIDOS!$B$11:$E$36,3,FALSE),"")</f>
        <v/>
      </c>
      <c r="I18" s="194" t="str">
        <f t="shared" si="0"/>
        <v/>
      </c>
      <c r="J18" s="195"/>
      <c r="K18"/>
      <c r="L18" s="203" t="s">
        <v>89</v>
      </c>
      <c r="M18" s="204"/>
      <c r="N18" s="204"/>
      <c r="O18" s="205"/>
      <c r="P18" s="201">
        <f>SUMIF(F11:F19,"Telefonia",G11:G19)</f>
        <v>2</v>
      </c>
      <c r="Q18" s="202"/>
      <c r="R18" s="161">
        <f>COUNTIF(F11:F19,"Eletrônicos")</f>
        <v>2</v>
      </c>
      <c r="S18" s="1"/>
      <c r="T18" s="1"/>
      <c r="U18" s="1"/>
      <c r="V18" s="1"/>
      <c r="W18" s="1"/>
      <c r="X18" s="1"/>
      <c r="Z18" s="1"/>
      <c r="AA18" s="1"/>
      <c r="AB18" s="1"/>
      <c r="AC18" s="1"/>
    </row>
    <row r="19" spans="1:29" s="2" customFormat="1" ht="15" thickBot="1">
      <c r="A19"/>
      <c r="B19" s="112"/>
      <c r="C19" s="191" t="str">
        <f>IF(B19&lt;&gt;"",VLOOKUP(B19,PRODUTOS_PEDIDOS!$B$11:$E$36,2,FALSE),"")</f>
        <v/>
      </c>
      <c r="D19" s="192"/>
      <c r="E19" s="193"/>
      <c r="F19" s="104" t="str">
        <f>IF(B19&lt;&gt;"",VLOOKUP(B19,PRODUTOS_PEDIDOS!$B$11:$E$36,4,FALSE),"")</f>
        <v/>
      </c>
      <c r="G19" s="107"/>
      <c r="H19" s="108" t="str">
        <f>IF(B19&lt;&gt;"",VLOOKUP(B19,PRODUTOS_PEDIDOS!$B$11:$E$36,3,FALSE),"")</f>
        <v/>
      </c>
      <c r="I19" s="194" t="str">
        <f t="shared" si="0"/>
        <v/>
      </c>
      <c r="J19" s="195"/>
      <c r="K19"/>
      <c r="L19" s="196" t="s">
        <v>90</v>
      </c>
      <c r="M19" s="197"/>
      <c r="N19" s="197"/>
      <c r="O19" s="198"/>
      <c r="P19" s="167">
        <f>SUMIF(F11:F19,"Eletrônicos",G11:G19)</f>
        <v>7</v>
      </c>
      <c r="Q19" s="168"/>
      <c r="R19" s="161">
        <f>COUNTIF(F12:F20,"Telefonia")</f>
        <v>1</v>
      </c>
      <c r="S19" s="1"/>
      <c r="T19" s="1"/>
      <c r="U19" s="1"/>
      <c r="V19" s="1"/>
      <c r="W19" s="1"/>
      <c r="X19" s="1"/>
      <c r="Z19" s="1"/>
      <c r="AA19" s="1"/>
      <c r="AB19" s="1"/>
      <c r="AC19" s="1"/>
    </row>
    <row r="20" spans="1:29" s="2" customFormat="1" ht="15" thickBot="1">
      <c r="A20"/>
      <c r="B20" s="91"/>
      <c r="C20" s="91"/>
      <c r="D20" s="91"/>
      <c r="E20" s="91"/>
      <c r="F20" s="91"/>
      <c r="G20" s="91"/>
      <c r="H20" s="109" t="str">
        <f>IF(F20="","",VLOOKUP(B20,#REF!,3))</f>
        <v/>
      </c>
      <c r="I20" s="91"/>
      <c r="J20" s="91"/>
      <c r="K20"/>
      <c r="L20"/>
      <c r="M20"/>
      <c r="N20"/>
      <c r="O20"/>
      <c r="P20"/>
      <c r="Q20"/>
      <c r="R20" s="1"/>
      <c r="S20" s="1"/>
      <c r="T20" s="1"/>
      <c r="U20" s="1"/>
      <c r="V20" s="1"/>
      <c r="W20" s="1"/>
      <c r="X20" s="1"/>
      <c r="Z20" s="1"/>
      <c r="AA20" s="1"/>
      <c r="AB20" s="1"/>
      <c r="AC20" s="1"/>
    </row>
    <row r="21" spans="1:29" s="2" customFormat="1" ht="15" thickBot="1">
      <c r="A21"/>
      <c r="B21" s="169"/>
      <c r="C21" s="169"/>
      <c r="D21" s="169"/>
      <c r="F21" s="117" t="s">
        <v>91</v>
      </c>
      <c r="G21" s="118"/>
      <c r="H21" s="170">
        <f>SUM(I11:J19)</f>
        <v>35283</v>
      </c>
      <c r="I21" s="171"/>
      <c r="J21" s="172"/>
      <c r="K21"/>
      <c r="L21" s="173" t="s">
        <v>92</v>
      </c>
      <c r="M21" s="174"/>
      <c r="N21" s="174"/>
      <c r="O21" s="175"/>
      <c r="P21"/>
      <c r="Q21"/>
      <c r="R21" s="1"/>
      <c r="S21" s="1"/>
      <c r="T21" s="1"/>
      <c r="U21" s="1"/>
      <c r="V21" s="1"/>
      <c r="W21" s="1"/>
      <c r="X21" s="1"/>
      <c r="Z21" s="1"/>
      <c r="AA21" s="1"/>
      <c r="AB21" s="1"/>
      <c r="AC21" s="1"/>
    </row>
    <row r="22" spans="1:29" s="2" customFormat="1">
      <c r="A22"/>
      <c r="B22" s="169"/>
      <c r="C22" s="169"/>
      <c r="D22" s="169"/>
      <c r="F22" s="119" t="s">
        <v>93</v>
      </c>
      <c r="G22" s="120"/>
      <c r="H22" s="176"/>
      <c r="I22" s="177"/>
      <c r="J22" s="178"/>
      <c r="K22"/>
      <c r="L22" s="96" t="s">
        <v>94</v>
      </c>
      <c r="M22" s="97"/>
      <c r="N22" s="179" t="s">
        <v>95</v>
      </c>
      <c r="O22" s="180"/>
      <c r="P22"/>
      <c r="Q22"/>
      <c r="R22" s="1"/>
      <c r="S22" s="1"/>
      <c r="T22" s="1"/>
      <c r="U22" s="1"/>
      <c r="V22" s="1"/>
      <c r="W22" s="1"/>
      <c r="X22" s="1"/>
      <c r="Z22" s="1"/>
      <c r="AA22" s="1"/>
      <c r="AB22" s="1"/>
      <c r="AC22" s="1"/>
    </row>
    <row r="23" spans="1:29" s="2" customFormat="1">
      <c r="A23"/>
      <c r="B23" s="169"/>
      <c r="C23" s="169"/>
      <c r="D23" s="169"/>
      <c r="F23" s="119" t="s">
        <v>96</v>
      </c>
      <c r="G23" s="120"/>
      <c r="H23" s="181">
        <f>IF(A1=1,H21*20%,IF(A1-4,H21*5%,"Sem Desconto"))</f>
        <v>7056.6</v>
      </c>
      <c r="I23" s="182"/>
      <c r="J23" s="183"/>
      <c r="K23"/>
      <c r="L23" s="98" t="s">
        <v>97</v>
      </c>
      <c r="M23" s="99"/>
      <c r="N23" s="199" t="s">
        <v>98</v>
      </c>
      <c r="O23" s="200"/>
      <c r="P23"/>
      <c r="Q23"/>
      <c r="R23" s="1"/>
      <c r="S23" s="1"/>
      <c r="T23" s="1"/>
      <c r="U23" s="1"/>
      <c r="V23" s="1"/>
      <c r="W23" s="1"/>
      <c r="X23" s="1"/>
      <c r="Z23" s="1"/>
      <c r="AA23" s="1"/>
      <c r="AB23" s="1"/>
      <c r="AC23" s="1"/>
    </row>
    <row r="24" spans="1:29" s="2" customFormat="1">
      <c r="A24"/>
      <c r="B24" s="169"/>
      <c r="C24" s="169"/>
      <c r="D24" s="169"/>
      <c r="F24" s="119" t="s">
        <v>99</v>
      </c>
      <c r="G24" s="120"/>
      <c r="H24" s="181" t="str">
        <f>IF(A1=3,H21*109.69%/3,"Sem Parcelas")</f>
        <v>Sem Parcelas</v>
      </c>
      <c r="I24" s="182"/>
      <c r="J24" s="183"/>
      <c r="K24"/>
      <c r="L24" s="98" t="s">
        <v>100</v>
      </c>
      <c r="M24" s="99"/>
      <c r="N24" s="199" t="s">
        <v>101</v>
      </c>
      <c r="O24" s="200"/>
      <c r="P24"/>
      <c r="Q24"/>
      <c r="R24" s="1"/>
      <c r="S24" s="1"/>
      <c r="T24" s="1"/>
      <c r="U24" s="1"/>
      <c r="V24" s="1"/>
      <c r="W24" s="1"/>
      <c r="X24" s="1"/>
      <c r="Z24" s="1"/>
      <c r="AA24" s="1"/>
      <c r="AB24" s="1"/>
      <c r="AC24" s="1"/>
    </row>
    <row r="25" spans="1:29" s="2" customFormat="1" ht="15" thickBot="1">
      <c r="A25"/>
      <c r="B25" s="169"/>
      <c r="C25" s="169"/>
      <c r="D25" s="169"/>
      <c r="F25" s="121" t="s">
        <v>102</v>
      </c>
      <c r="G25" s="122"/>
      <c r="H25" s="184">
        <f>IF(OR(A1=1,A1=4),H21-H23,IF(A1=2,H21*104.75%,H24*3))</f>
        <v>28226.400000000001</v>
      </c>
      <c r="I25" s="185"/>
      <c r="J25" s="186"/>
      <c r="K25"/>
      <c r="L25" s="187" t="s">
        <v>103</v>
      </c>
      <c r="M25" s="188"/>
      <c r="N25" s="189" t="s">
        <v>104</v>
      </c>
      <c r="O25" s="190"/>
      <c r="P25"/>
      <c r="Q25"/>
      <c r="R25" s="1"/>
      <c r="S25" s="1"/>
      <c r="T25" s="1"/>
      <c r="U25" s="1"/>
      <c r="V25" s="1"/>
      <c r="W25" s="1"/>
      <c r="X25" s="1"/>
      <c r="Z25" s="1"/>
      <c r="AA25" s="1"/>
      <c r="AB25" s="1"/>
      <c r="AC25" s="1"/>
    </row>
    <row r="26" spans="1:29" s="1" customFormat="1">
      <c r="B26" s="92"/>
      <c r="C26" s="93"/>
      <c r="D26" s="94"/>
      <c r="E26" s="2"/>
      <c r="F26" s="2"/>
      <c r="G26" s="2"/>
      <c r="H26" s="2"/>
      <c r="Y26" s="2"/>
    </row>
    <row r="27" spans="1:29" s="1" customFormat="1">
      <c r="B27" s="92"/>
      <c r="C27" s="93"/>
      <c r="D27" s="94"/>
      <c r="E27" s="2"/>
      <c r="F27" s="2"/>
      <c r="G27" s="2"/>
      <c r="H27" s="2"/>
      <c r="Y27" s="2"/>
    </row>
    <row r="28" spans="1:29" s="1" customFormat="1">
      <c r="B28" s="92"/>
      <c r="C28" s="93"/>
      <c r="D28" s="94"/>
      <c r="E28" s="2"/>
      <c r="F28" s="2"/>
      <c r="G28" s="2"/>
      <c r="H28" s="2"/>
      <c r="Y28" s="2"/>
    </row>
    <row r="29" spans="1:29" s="1" customFormat="1">
      <c r="B29" s="92"/>
      <c r="C29" s="93"/>
      <c r="D29" s="94"/>
      <c r="E29" s="2"/>
      <c r="F29" s="2"/>
      <c r="G29" s="2"/>
      <c r="H29" s="2"/>
      <c r="Y29" s="2"/>
    </row>
    <row r="30" spans="1:29" s="1" customFormat="1">
      <c r="B30" s="92"/>
      <c r="C30" s="93"/>
      <c r="D30" s="94"/>
      <c r="E30" s="2"/>
      <c r="F30" s="2"/>
      <c r="G30" s="2"/>
      <c r="H30" s="2"/>
      <c r="Y30" s="2"/>
    </row>
    <row r="31" spans="1:29" ht="15.75" customHeight="1">
      <c r="B31" s="92"/>
      <c r="C31" s="93"/>
      <c r="D31" s="94"/>
      <c r="E31" s="2"/>
      <c r="F31" s="2"/>
      <c r="G31" s="2"/>
      <c r="H31" s="2"/>
    </row>
    <row r="32" spans="1:29">
      <c r="B32" s="92"/>
      <c r="C32" s="93"/>
      <c r="D32" s="95"/>
      <c r="E32" s="2"/>
      <c r="F32" s="2"/>
      <c r="G32" s="2"/>
      <c r="H32" s="2"/>
    </row>
    <row r="33" spans="2:8">
      <c r="B33" s="92"/>
      <c r="C33" s="93"/>
      <c r="D33" s="94"/>
      <c r="E33" s="2"/>
      <c r="F33" s="2"/>
      <c r="G33" s="2"/>
      <c r="H33" s="2"/>
    </row>
    <row r="34" spans="2:8">
      <c r="B34" s="92"/>
      <c r="C34" s="93"/>
      <c r="D34" s="94"/>
      <c r="E34" s="2"/>
      <c r="F34" s="2"/>
      <c r="G34" s="2"/>
      <c r="H34" s="2"/>
    </row>
    <row r="35" spans="2:8">
      <c r="B35" s="92"/>
      <c r="C35" s="93"/>
      <c r="D35" s="94"/>
      <c r="E35" s="2"/>
      <c r="F35" s="2"/>
      <c r="G35" s="2"/>
      <c r="H35" s="2"/>
    </row>
    <row r="36" spans="2:8">
      <c r="B36" s="92"/>
      <c r="C36" s="93"/>
      <c r="D36" s="94"/>
      <c r="E36" s="2"/>
      <c r="F36" s="2"/>
      <c r="G36" s="2"/>
      <c r="H36" s="2"/>
    </row>
    <row r="37" spans="2:8">
      <c r="B37" s="92"/>
      <c r="C37" s="93"/>
      <c r="D37" s="94"/>
      <c r="E37" s="2"/>
      <c r="F37" s="2"/>
      <c r="G37" s="2"/>
      <c r="H37" s="2"/>
    </row>
    <row r="38" spans="2:8">
      <c r="B38" s="92"/>
      <c r="C38" s="93"/>
      <c r="D38" s="94"/>
      <c r="E38" s="2"/>
      <c r="F38" s="2"/>
      <c r="G38" s="2"/>
      <c r="H38" s="2"/>
    </row>
    <row r="39" spans="2:8">
      <c r="B39" s="92"/>
      <c r="C39" s="93"/>
      <c r="D39" s="94"/>
      <c r="E39" s="2"/>
      <c r="F39" s="2"/>
      <c r="G39" s="2"/>
      <c r="H39" s="2"/>
    </row>
    <row r="40" spans="2:8">
      <c r="B40" s="92"/>
      <c r="C40" s="93"/>
      <c r="D40" s="94"/>
      <c r="E40" s="2"/>
      <c r="F40" s="2"/>
      <c r="G40" s="2"/>
      <c r="H40" s="2"/>
    </row>
    <row r="41" spans="2:8">
      <c r="B41" s="92"/>
      <c r="C41" s="93"/>
      <c r="D41" s="94"/>
      <c r="E41" s="2"/>
      <c r="F41" s="2"/>
      <c r="G41" s="2"/>
      <c r="H41" s="2"/>
    </row>
    <row r="42" spans="2:8">
      <c r="B42" s="92"/>
      <c r="C42" s="93"/>
      <c r="D42" s="94"/>
      <c r="E42" s="2"/>
      <c r="F42" s="2"/>
      <c r="G42" s="2"/>
      <c r="H42" s="2"/>
    </row>
    <row r="43" spans="2:8">
      <c r="B43" s="92"/>
      <c r="C43" s="93"/>
      <c r="D43" s="94"/>
      <c r="E43" s="2"/>
      <c r="F43" s="2"/>
      <c r="G43" s="2"/>
      <c r="H43" s="2"/>
    </row>
    <row r="44" spans="2:8">
      <c r="B44" s="92"/>
      <c r="C44" s="93"/>
      <c r="D44" s="94"/>
      <c r="E44" s="2"/>
      <c r="F44" s="2"/>
      <c r="G44" s="2"/>
      <c r="H44" s="2"/>
    </row>
    <row r="45" spans="2:8">
      <c r="B45" s="92"/>
      <c r="C45" s="93"/>
      <c r="D45" s="94"/>
      <c r="E45" s="2"/>
      <c r="F45" s="2"/>
      <c r="G45" s="2"/>
      <c r="H45" s="2"/>
    </row>
    <row r="46" spans="2:8">
      <c r="B46" s="92"/>
      <c r="C46" s="93"/>
      <c r="D46" s="94"/>
      <c r="E46" s="2"/>
      <c r="F46" s="2"/>
      <c r="G46" s="2"/>
      <c r="H46" s="2"/>
    </row>
    <row r="47" spans="2:8">
      <c r="B47" s="92"/>
      <c r="C47" s="93"/>
      <c r="D47" s="94"/>
      <c r="E47" s="2"/>
      <c r="F47" s="2"/>
      <c r="G47" s="2"/>
      <c r="H47" s="2"/>
    </row>
    <row r="48" spans="2:8">
      <c r="B48" s="92"/>
      <c r="C48" s="93"/>
      <c r="D48" s="94"/>
      <c r="E48" s="2"/>
      <c r="F48" s="2"/>
      <c r="G48" s="2"/>
      <c r="H48" s="2"/>
    </row>
    <row r="49" spans="2:8">
      <c r="B49" s="92"/>
      <c r="C49" s="93"/>
      <c r="D49" s="94"/>
      <c r="E49" s="2"/>
      <c r="F49" s="2"/>
      <c r="G49" s="2"/>
      <c r="H49" s="2"/>
    </row>
    <row r="50" spans="2:8">
      <c r="B50" s="92"/>
      <c r="C50" s="93"/>
      <c r="D50" s="94"/>
      <c r="E50" s="2"/>
      <c r="F50" s="2"/>
      <c r="G50" s="2"/>
      <c r="H50" s="2"/>
    </row>
    <row r="51" spans="2:8">
      <c r="B51" s="92"/>
      <c r="C51" s="93"/>
      <c r="D51" s="94"/>
      <c r="E51" s="2"/>
      <c r="F51" s="2"/>
      <c r="G51" s="2"/>
      <c r="H51" s="2"/>
    </row>
    <row r="52" spans="2:8">
      <c r="B52" s="92"/>
      <c r="C52" s="93"/>
      <c r="D52" s="94"/>
      <c r="E52" s="2"/>
      <c r="F52" s="2"/>
      <c r="G52" s="2"/>
      <c r="H52" s="2"/>
    </row>
    <row r="53" spans="2:8">
      <c r="B53" s="92"/>
      <c r="C53" s="93"/>
      <c r="D53" s="94"/>
      <c r="E53" s="2"/>
      <c r="F53" s="2"/>
      <c r="G53" s="2"/>
      <c r="H53" s="2"/>
    </row>
    <row r="54" spans="2:8">
      <c r="B54" s="92"/>
      <c r="C54" s="93"/>
      <c r="D54" s="94"/>
      <c r="E54" s="2"/>
      <c r="F54" s="2"/>
      <c r="G54" s="2"/>
      <c r="H54" s="2"/>
    </row>
    <row r="55" spans="2:8">
      <c r="B55" s="92"/>
      <c r="C55" s="93"/>
      <c r="D55" s="94"/>
      <c r="E55" s="2"/>
      <c r="F55" s="2"/>
      <c r="G55" s="2"/>
      <c r="H55" s="2"/>
    </row>
    <row r="56" spans="2:8">
      <c r="B56" s="92"/>
      <c r="C56" s="93"/>
      <c r="D56" s="94"/>
      <c r="E56" s="2"/>
      <c r="F56" s="2"/>
      <c r="G56" s="2"/>
      <c r="H56" s="2"/>
    </row>
    <row r="57" spans="2:8">
      <c r="B57" s="92"/>
      <c r="C57" s="93"/>
      <c r="D57" s="94"/>
      <c r="E57" s="2"/>
      <c r="F57" s="2"/>
      <c r="G57" s="2"/>
      <c r="H57" s="2"/>
    </row>
    <row r="58" spans="2:8">
      <c r="B58" s="92"/>
      <c r="C58" s="93"/>
      <c r="D58" s="94"/>
      <c r="E58" s="2"/>
      <c r="F58" s="2"/>
      <c r="G58" s="2"/>
      <c r="H58" s="2"/>
    </row>
    <row r="59" spans="2:8">
      <c r="B59" s="92"/>
      <c r="C59" s="93"/>
      <c r="D59" s="94"/>
      <c r="E59" s="2"/>
      <c r="F59" s="2"/>
      <c r="G59" s="2"/>
      <c r="H59" s="2"/>
    </row>
    <row r="60" spans="2:8">
      <c r="B60" s="92"/>
      <c r="C60" s="93"/>
      <c r="D60" s="94"/>
      <c r="E60" s="2"/>
      <c r="F60" s="2"/>
      <c r="G60" s="2"/>
      <c r="H60" s="2"/>
    </row>
    <row r="61" spans="2:8">
      <c r="B61" s="92"/>
      <c r="C61" s="93"/>
      <c r="D61" s="94"/>
      <c r="E61" s="2"/>
      <c r="F61" s="2"/>
      <c r="G61" s="2"/>
      <c r="H61" s="2"/>
    </row>
    <row r="62" spans="2:8">
      <c r="B62" s="92"/>
      <c r="C62" s="93"/>
      <c r="D62" s="94"/>
      <c r="E62" s="2"/>
      <c r="F62" s="2"/>
      <c r="G62" s="2"/>
      <c r="H62" s="2"/>
    </row>
    <row r="63" spans="2:8">
      <c r="B63" s="92"/>
      <c r="C63" s="93"/>
      <c r="D63" s="94"/>
      <c r="E63" s="2"/>
      <c r="F63" s="2"/>
      <c r="G63" s="2"/>
      <c r="H63" s="2"/>
    </row>
    <row r="64" spans="2:8">
      <c r="B64" s="92"/>
      <c r="C64" s="93"/>
      <c r="D64" s="94"/>
      <c r="E64" s="2"/>
      <c r="F64" s="2"/>
      <c r="G64" s="2"/>
      <c r="H64" s="2"/>
    </row>
    <row r="65" spans="2:8">
      <c r="B65" s="92"/>
      <c r="C65" s="93"/>
      <c r="D65" s="94"/>
      <c r="E65" s="2"/>
      <c r="F65" s="2"/>
      <c r="G65" s="2"/>
      <c r="H65" s="2"/>
    </row>
    <row r="66" spans="2:8">
      <c r="B66" s="92"/>
      <c r="C66" s="93"/>
      <c r="D66" s="94"/>
      <c r="E66" s="2"/>
      <c r="F66" s="2"/>
      <c r="G66" s="2"/>
      <c r="H66" s="2"/>
    </row>
    <row r="67" spans="2:8">
      <c r="B67" s="92"/>
      <c r="C67" s="93"/>
      <c r="D67" s="94"/>
      <c r="E67" s="2"/>
      <c r="F67" s="2"/>
      <c r="G67" s="2"/>
      <c r="H67" s="2"/>
    </row>
    <row r="68" spans="2:8">
      <c r="B68" s="92"/>
      <c r="C68" s="93"/>
      <c r="D68" s="94"/>
      <c r="E68" s="2"/>
      <c r="F68" s="2"/>
      <c r="G68" s="2"/>
      <c r="H68" s="2"/>
    </row>
    <row r="69" spans="2:8">
      <c r="B69" s="92"/>
      <c r="C69" s="93"/>
      <c r="D69" s="94"/>
      <c r="E69" s="2"/>
      <c r="F69" s="2"/>
      <c r="G69" s="2"/>
      <c r="H69" s="2"/>
    </row>
    <row r="70" spans="2:8">
      <c r="B70" s="92"/>
      <c r="C70" s="93"/>
      <c r="D70" s="94"/>
      <c r="E70" s="2"/>
      <c r="F70" s="2"/>
      <c r="G70" s="2"/>
      <c r="H70" s="2"/>
    </row>
    <row r="71" spans="2:8">
      <c r="B71" s="92"/>
      <c r="C71" s="93"/>
      <c r="D71" s="94"/>
      <c r="E71" s="2"/>
      <c r="F71" s="2"/>
      <c r="G71" s="2"/>
      <c r="H71" s="2"/>
    </row>
    <row r="72" spans="2:8">
      <c r="B72" s="92"/>
      <c r="C72" s="93"/>
      <c r="D72" s="94"/>
      <c r="E72" s="2"/>
      <c r="F72" s="2"/>
      <c r="G72" s="2"/>
      <c r="H72" s="2"/>
    </row>
    <row r="73" spans="2:8">
      <c r="B73" s="92"/>
      <c r="C73" s="93"/>
      <c r="D73" s="94"/>
      <c r="E73" s="2"/>
      <c r="F73" s="2"/>
      <c r="G73" s="2"/>
      <c r="H73" s="2"/>
    </row>
    <row r="74" spans="2:8">
      <c r="B74" s="92"/>
      <c r="C74" s="93"/>
      <c r="D74" s="95"/>
      <c r="E74" s="2"/>
      <c r="F74" s="2"/>
      <c r="G74" s="2"/>
      <c r="H74" s="2"/>
    </row>
    <row r="75" spans="2:8">
      <c r="B75" s="92"/>
      <c r="C75" s="93"/>
      <c r="D75" s="95"/>
      <c r="E75" s="2"/>
      <c r="F75" s="2"/>
      <c r="G75" s="2"/>
      <c r="H75" s="2"/>
    </row>
    <row r="76" spans="2:8">
      <c r="B76" s="92"/>
      <c r="C76" s="93"/>
      <c r="D76" s="94"/>
      <c r="E76" s="2"/>
      <c r="F76" s="2"/>
      <c r="G76" s="2"/>
      <c r="H76" s="2"/>
    </row>
    <row r="77" spans="2:8">
      <c r="B77" s="92"/>
      <c r="C77" s="93"/>
      <c r="D77" s="94"/>
      <c r="E77" s="2"/>
      <c r="F77" s="2"/>
      <c r="G77" s="2"/>
      <c r="H77" s="2"/>
    </row>
    <row r="78" spans="2:8">
      <c r="B78" s="92"/>
      <c r="C78" s="93"/>
      <c r="D78" s="94"/>
      <c r="E78" s="2"/>
      <c r="F78" s="2"/>
      <c r="G78" s="2"/>
      <c r="H78" s="2"/>
    </row>
    <row r="79" spans="2:8">
      <c r="B79" s="92"/>
      <c r="C79" s="93"/>
      <c r="D79" s="94"/>
      <c r="E79" s="2"/>
      <c r="F79" s="2"/>
      <c r="G79" s="2"/>
      <c r="H79" s="2"/>
    </row>
    <row r="80" spans="2:8">
      <c r="B80" s="92"/>
      <c r="C80" s="93"/>
      <c r="D80" s="94"/>
      <c r="E80" s="2"/>
      <c r="F80" s="2"/>
      <c r="G80" s="2"/>
      <c r="H80" s="2"/>
    </row>
    <row r="81" spans="1:28">
      <c r="B81" s="92"/>
      <c r="C81" s="93"/>
      <c r="D81" s="94"/>
      <c r="E81" s="2"/>
      <c r="F81" s="2"/>
      <c r="G81" s="2"/>
      <c r="H81" s="2"/>
    </row>
    <row r="82" spans="1:28">
      <c r="B82" s="92"/>
      <c r="C82" s="93"/>
      <c r="D82" s="94"/>
      <c r="E82" s="2"/>
      <c r="F82" s="2"/>
      <c r="G82" s="2"/>
      <c r="H82" s="2"/>
    </row>
    <row r="83" spans="1:28">
      <c r="B83" s="92"/>
      <c r="C83" s="93"/>
      <c r="D83" s="94"/>
      <c r="E83" s="2"/>
      <c r="F83" s="2"/>
      <c r="G83" s="2"/>
      <c r="H83" s="2"/>
    </row>
    <row r="84" spans="1:28">
      <c r="B84" s="92"/>
      <c r="C84" s="93"/>
      <c r="D84" s="94"/>
      <c r="E84" s="2"/>
      <c r="F84" s="2"/>
      <c r="G84" s="2"/>
      <c r="H84" s="2"/>
    </row>
    <row r="85" spans="1:28">
      <c r="B85" s="92"/>
      <c r="C85" s="93"/>
      <c r="D85" s="94"/>
      <c r="E85" s="2"/>
      <c r="F85" s="2"/>
      <c r="G85" s="2"/>
      <c r="H85" s="2"/>
    </row>
    <row r="86" spans="1:28">
      <c r="B86" s="92"/>
      <c r="C86" s="93"/>
      <c r="D86" s="94"/>
      <c r="E86" s="2"/>
      <c r="F86" s="2"/>
      <c r="G86" s="2"/>
      <c r="H86" s="2"/>
    </row>
    <row r="87" spans="1:28">
      <c r="B87" s="92"/>
      <c r="C87" s="93"/>
      <c r="D87" s="95"/>
      <c r="E87" s="2"/>
      <c r="F87" s="2"/>
      <c r="G87" s="2"/>
      <c r="H87" s="2"/>
    </row>
    <row r="88" spans="1:28">
      <c r="B88" s="92"/>
      <c r="C88" s="93"/>
      <c r="D88" s="95"/>
      <c r="E88" s="2"/>
      <c r="F88" s="2"/>
      <c r="G88" s="2"/>
      <c r="H88" s="2"/>
    </row>
    <row r="89" spans="1:28" s="1" customFormat="1">
      <c r="A89"/>
      <c r="B89" s="92"/>
      <c r="C89" s="93"/>
      <c r="D89" s="95"/>
      <c r="E89" s="2"/>
      <c r="F89" s="2"/>
      <c r="G89" s="2"/>
      <c r="H89" s="2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 s="2"/>
    </row>
    <row r="90" spans="1:28" s="1" customFormat="1">
      <c r="A90"/>
      <c r="B90" s="92"/>
      <c r="C90" s="93"/>
      <c r="D90" s="94"/>
      <c r="E90" s="2"/>
      <c r="F90" s="2"/>
      <c r="G90" s="2"/>
      <c r="H90" s="2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 s="2"/>
    </row>
    <row r="91" spans="1:28" s="1" customFormat="1">
      <c r="A91"/>
      <c r="B91" s="92"/>
      <c r="C91" s="93"/>
      <c r="D91" s="94"/>
      <c r="E91" s="2"/>
      <c r="F91" s="2"/>
      <c r="G91" s="2"/>
      <c r="H91" s="2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 s="2"/>
    </row>
    <row r="92" spans="1:28" s="1" customFormat="1">
      <c r="A92"/>
      <c r="B92" s="92"/>
      <c r="C92" s="93"/>
      <c r="D92" s="94"/>
      <c r="E92" s="2"/>
      <c r="F92" s="2"/>
      <c r="G92" s="2"/>
      <c r="H92" s="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 s="2"/>
      <c r="Z92" s="31" t="s">
        <v>23</v>
      </c>
      <c r="AA92"/>
      <c r="AB92"/>
    </row>
    <row r="93" spans="1:28" s="1" customFormat="1">
      <c r="A93"/>
      <c r="B93" s="92"/>
      <c r="C93" s="93"/>
      <c r="D93" s="94"/>
      <c r="E93" s="2"/>
      <c r="F93" s="2"/>
      <c r="G93" s="2"/>
      <c r="H93" s="2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 s="2"/>
      <c r="Z93" s="31" t="s">
        <v>22</v>
      </c>
      <c r="AA93"/>
      <c r="AB93"/>
    </row>
    <row r="94" spans="1:28" s="1" customFormat="1">
      <c r="A94"/>
      <c r="B94" s="92"/>
      <c r="C94" s="93"/>
      <c r="D94" s="94"/>
      <c r="E94" s="2"/>
      <c r="F94" s="2"/>
      <c r="G94" s="2"/>
      <c r="H94" s="2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 s="2"/>
    </row>
    <row r="95" spans="1:28" s="1" customFormat="1">
      <c r="A95"/>
      <c r="B95" s="92"/>
      <c r="C95" s="93"/>
      <c r="D95" s="94"/>
      <c r="E95" s="2"/>
      <c r="F95" s="2"/>
      <c r="G95" s="2"/>
      <c r="H95" s="2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 s="2"/>
    </row>
    <row r="96" spans="1:28" s="1" customFormat="1">
      <c r="A96"/>
      <c r="B96" s="92"/>
      <c r="C96" s="93"/>
      <c r="D96" s="94"/>
      <c r="E96" s="2"/>
      <c r="F96" s="2"/>
      <c r="G96" s="2"/>
      <c r="H96" s="2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 s="2"/>
    </row>
    <row r="97" spans="1:25" s="1" customFormat="1">
      <c r="A97"/>
      <c r="B97" s="92"/>
      <c r="C97" s="93"/>
      <c r="D97" s="94"/>
      <c r="E97" s="2"/>
      <c r="F97" s="2"/>
      <c r="G97" s="2"/>
      <c r="H97" s="2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 s="2"/>
    </row>
    <row r="98" spans="1:25" s="1" customFormat="1">
      <c r="A98"/>
      <c r="B98" s="92"/>
      <c r="C98" s="93"/>
      <c r="D98" s="94"/>
      <c r="E98" s="2"/>
      <c r="F98" s="2"/>
      <c r="G98" s="2"/>
      <c r="H98" s="2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 s="2"/>
    </row>
    <row r="99" spans="1:25" s="1" customFormat="1">
      <c r="A99"/>
      <c r="B99" s="92"/>
      <c r="C99" s="93"/>
      <c r="D99" s="94"/>
      <c r="E99" s="2"/>
      <c r="F99" s="2"/>
      <c r="G99" s="2"/>
      <c r="H99" s="2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 s="2"/>
    </row>
    <row r="100" spans="1:25" s="1" customFormat="1">
      <c r="A100"/>
      <c r="B100" s="92"/>
      <c r="C100" s="93"/>
      <c r="D100" s="94"/>
      <c r="E100" s="2"/>
      <c r="F100" s="2"/>
      <c r="G100" s="2"/>
      <c r="H100" s="2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 s="2"/>
    </row>
    <row r="101" spans="1:25" s="1" customFormat="1">
      <c r="A101"/>
      <c r="B101" s="92"/>
      <c r="C101" s="93"/>
      <c r="D101" s="94"/>
      <c r="E101" s="2"/>
      <c r="F101" s="2"/>
      <c r="G101" s="2"/>
      <c r="H101" s="2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 s="2"/>
    </row>
    <row r="102" spans="1:25" s="1" customFormat="1">
      <c r="A102"/>
      <c r="B102" s="92"/>
      <c r="C102" s="93"/>
      <c r="D102" s="94"/>
      <c r="E102" s="2"/>
      <c r="F102" s="2"/>
      <c r="G102" s="2"/>
      <c r="H102" s="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 s="2"/>
    </row>
    <row r="103" spans="1:25" s="1" customFormat="1">
      <c r="A103"/>
      <c r="B103" s="92"/>
      <c r="C103" s="93"/>
      <c r="D103" s="94"/>
      <c r="E103" s="2"/>
      <c r="F103" s="2"/>
      <c r="G103" s="2"/>
      <c r="H103" s="2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 s="2"/>
    </row>
    <row r="104" spans="1:25" s="1" customFormat="1">
      <c r="A104"/>
      <c r="B104" s="92"/>
      <c r="C104" s="93"/>
      <c r="D104" s="94"/>
      <c r="E104" s="2"/>
      <c r="F104" s="2"/>
      <c r="G104" s="2"/>
      <c r="H104" s="2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 s="2"/>
    </row>
    <row r="105" spans="1:25">
      <c r="B105" s="92"/>
      <c r="C105" s="93"/>
      <c r="D105" s="94"/>
      <c r="E105" s="2"/>
      <c r="F105" s="2"/>
      <c r="G105" s="2"/>
      <c r="H105" s="2"/>
    </row>
    <row r="106" spans="1:25">
      <c r="B106" s="92"/>
      <c r="C106" s="93"/>
      <c r="D106" s="94"/>
      <c r="E106" s="2"/>
      <c r="F106" s="2"/>
      <c r="G106" s="2"/>
      <c r="H106" s="2"/>
    </row>
    <row r="107" spans="1:25">
      <c r="B107" s="92"/>
      <c r="C107" s="93"/>
      <c r="D107" s="94"/>
      <c r="E107" s="2"/>
      <c r="F107" s="2"/>
      <c r="G107" s="2"/>
      <c r="H107" s="2"/>
    </row>
    <row r="108" spans="1:25">
      <c r="B108" s="92"/>
      <c r="C108" s="93"/>
      <c r="D108" s="94"/>
      <c r="E108" s="2"/>
      <c r="F108" s="2"/>
      <c r="G108" s="2"/>
      <c r="H108" s="2"/>
    </row>
    <row r="109" spans="1:25">
      <c r="B109" s="92"/>
      <c r="C109" s="93"/>
      <c r="D109" s="95"/>
      <c r="E109" s="2"/>
      <c r="F109" s="2"/>
      <c r="G109" s="2"/>
      <c r="H109" s="2"/>
    </row>
    <row r="110" spans="1:25">
      <c r="B110" s="92"/>
      <c r="C110" s="93"/>
      <c r="D110" s="94"/>
      <c r="E110" s="2"/>
      <c r="F110" s="2"/>
      <c r="G110" s="2"/>
      <c r="H110" s="2"/>
    </row>
    <row r="111" spans="1:25">
      <c r="B111" s="92"/>
      <c r="C111" s="93"/>
      <c r="D111" s="94"/>
      <c r="E111" s="2"/>
      <c r="F111" s="2"/>
      <c r="G111" s="2"/>
      <c r="H111" s="2"/>
    </row>
    <row r="112" spans="1:25">
      <c r="B112" s="92"/>
      <c r="C112" s="93"/>
      <c r="D112" s="94"/>
      <c r="E112" s="2"/>
      <c r="F112" s="2"/>
      <c r="G112" s="2"/>
      <c r="H112" s="2"/>
    </row>
    <row r="113" spans="2:8">
      <c r="B113" s="92"/>
      <c r="C113" s="93"/>
      <c r="D113" s="94"/>
      <c r="E113" s="2"/>
      <c r="F113" s="2"/>
      <c r="G113" s="2"/>
      <c r="H113" s="2"/>
    </row>
    <row r="114" spans="2:8">
      <c r="B114" s="92"/>
      <c r="C114" s="93"/>
      <c r="D114" s="94"/>
      <c r="E114" s="2"/>
      <c r="F114" s="2"/>
      <c r="G114" s="2"/>
      <c r="H114" s="2"/>
    </row>
    <row r="115" spans="2:8">
      <c r="B115" s="92"/>
      <c r="C115" s="93"/>
      <c r="D115" s="94"/>
      <c r="E115" s="2"/>
      <c r="F115" s="2"/>
      <c r="G115" s="2"/>
      <c r="H115" s="2"/>
    </row>
    <row r="116" spans="2:8">
      <c r="B116" s="92"/>
      <c r="C116" s="93"/>
      <c r="D116" s="94"/>
      <c r="E116" s="2"/>
      <c r="F116" s="2"/>
      <c r="G116" s="2"/>
      <c r="H116" s="2"/>
    </row>
    <row r="117" spans="2:8">
      <c r="B117" s="92"/>
      <c r="C117" s="93"/>
      <c r="D117" s="94"/>
      <c r="E117" s="2"/>
      <c r="F117" s="2"/>
      <c r="G117" s="2"/>
      <c r="H117" s="2"/>
    </row>
    <row r="118" spans="2:8">
      <c r="B118" s="2"/>
      <c r="C118" s="2"/>
      <c r="D118" s="2"/>
      <c r="E118" s="2"/>
      <c r="F118" s="2"/>
      <c r="G118" s="2"/>
      <c r="H118" s="2"/>
    </row>
  </sheetData>
  <mergeCells count="60">
    <mergeCell ref="F2:K2"/>
    <mergeCell ref="D6:E6"/>
    <mergeCell ref="F6:G6"/>
    <mergeCell ref="B9:J9"/>
    <mergeCell ref="L9:Q10"/>
    <mergeCell ref="C10:E10"/>
    <mergeCell ref="I10:J10"/>
    <mergeCell ref="B8:D8"/>
    <mergeCell ref="F8:H8"/>
    <mergeCell ref="C4:J4"/>
    <mergeCell ref="D5:J5"/>
    <mergeCell ref="H6:J6"/>
    <mergeCell ref="L11:O11"/>
    <mergeCell ref="P11:Q11"/>
    <mergeCell ref="C12:E12"/>
    <mergeCell ref="I12:J12"/>
    <mergeCell ref="L12:O12"/>
    <mergeCell ref="P12:Q12"/>
    <mergeCell ref="C11:E11"/>
    <mergeCell ref="I11:J11"/>
    <mergeCell ref="P13:Q13"/>
    <mergeCell ref="C14:E14"/>
    <mergeCell ref="I14:J14"/>
    <mergeCell ref="L14:O14"/>
    <mergeCell ref="P14:Q14"/>
    <mergeCell ref="C13:E13"/>
    <mergeCell ref="I13:J13"/>
    <mergeCell ref="L13:O13"/>
    <mergeCell ref="P15:Q15"/>
    <mergeCell ref="C16:E16"/>
    <mergeCell ref="I16:J16"/>
    <mergeCell ref="L16:O16"/>
    <mergeCell ref="P16:Q16"/>
    <mergeCell ref="C15:E15"/>
    <mergeCell ref="I15:J15"/>
    <mergeCell ref="L15:O15"/>
    <mergeCell ref="P17:Q17"/>
    <mergeCell ref="C18:E18"/>
    <mergeCell ref="I18:J18"/>
    <mergeCell ref="L18:O18"/>
    <mergeCell ref="P18:Q18"/>
    <mergeCell ref="C17:E17"/>
    <mergeCell ref="I17:J17"/>
    <mergeCell ref="L17:O17"/>
    <mergeCell ref="P19:Q19"/>
    <mergeCell ref="B21:D25"/>
    <mergeCell ref="H21:J21"/>
    <mergeCell ref="L21:O21"/>
    <mergeCell ref="H22:J22"/>
    <mergeCell ref="N22:O22"/>
    <mergeCell ref="H23:J23"/>
    <mergeCell ref="H25:J25"/>
    <mergeCell ref="L25:M25"/>
    <mergeCell ref="N25:O25"/>
    <mergeCell ref="C19:E19"/>
    <mergeCell ref="I19:J19"/>
    <mergeCell ref="L19:O19"/>
    <mergeCell ref="N23:O23"/>
    <mergeCell ref="H24:J24"/>
    <mergeCell ref="N24:O24"/>
  </mergeCells>
  <dataValidations count="2">
    <dataValidation allowBlank="1" showErrorMessage="1" promptTitle="ATENÇÃO !!!" prompt="ID PRODUTO ENTRE 2000 E 2025." sqref="C11:J19" xr:uid="{00000000-0002-0000-0400-000000000000}"/>
    <dataValidation type="whole" allowBlank="1" showInputMessage="1" showErrorMessage="1" errorTitle="ATENÇÃO" error="Código Inválido!" promptTitle="ATENÇÃO" prompt="Digite o ID do produto entre 2000 e 2025!" sqref="B11:B19" xr:uid="{63CA740C-741E-42BE-A97B-06809C567448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Drop Down 1">
              <controlPr defaultSize="0" autoLine="0" autoPict="0">
                <anchor moveWithCells="1">
                  <from>
                    <xdr:col>7</xdr:col>
                    <xdr:colOff>0</xdr:colOff>
                    <xdr:row>20</xdr:row>
                    <xdr:rowOff>190500</xdr:rowOff>
                  </from>
                  <to>
                    <xdr:col>10</xdr:col>
                    <xdr:colOff>12700</xdr:colOff>
                    <xdr:row>21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3:AC143"/>
  <sheetViews>
    <sheetView showGridLines="0" zoomScale="85" zoomScaleNormal="85" workbookViewId="0">
      <selection activeCell="F13" sqref="F13"/>
    </sheetView>
  </sheetViews>
  <sheetFormatPr defaultRowHeight="14.5" outlineLevelRow="2"/>
  <cols>
    <col min="1" max="1" width="5.54296875" customWidth="1"/>
    <col min="2" max="2" width="52.54296875" customWidth="1"/>
    <col min="3" max="3" width="15.453125" bestFit="1" customWidth="1"/>
    <col min="4" max="4" width="17.54296875" bestFit="1" customWidth="1"/>
    <col min="5" max="5" width="19.54296875" customWidth="1"/>
    <col min="15" max="15" width="11.81640625" customWidth="1"/>
    <col min="25" max="25" width="9.1796875" style="2"/>
    <col min="26" max="28" width="9.1796875" style="1"/>
    <col min="29" max="29" width="10.26953125" style="1" customWidth="1"/>
  </cols>
  <sheetData>
    <row r="3" spans="1:29" s="2" customFormat="1" ht="15" customHeight="1">
      <c r="A3"/>
      <c r="B3"/>
      <c r="C3" s="4"/>
      <c r="D3" s="4"/>
      <c r="E3" s="4"/>
      <c r="F3" s="25"/>
      <c r="G3" s="25"/>
      <c r="H3" s="25"/>
      <c r="I3" s="25"/>
      <c r="J3" s="25"/>
      <c r="K3" s="25"/>
      <c r="L3" s="25"/>
      <c r="M3" s="25"/>
      <c r="N3" s="25"/>
      <c r="O3" s="25"/>
      <c r="P3" s="6"/>
      <c r="Q3" s="6"/>
      <c r="R3" s="6"/>
      <c r="S3" s="5"/>
      <c r="T3" s="5"/>
      <c r="U3" s="5"/>
      <c r="V3" s="5"/>
      <c r="W3" s="5"/>
      <c r="X3"/>
      <c r="Z3" s="1"/>
      <c r="AA3" s="1"/>
      <c r="AB3" s="1"/>
      <c r="AC3" s="1"/>
    </row>
    <row r="4" spans="1:29" s="2" customFormat="1" ht="15" customHeight="1">
      <c r="A4"/>
      <c r="B4"/>
      <c r="C4" s="4"/>
      <c r="D4" s="4"/>
      <c r="E4" s="4"/>
      <c r="F4" s="26"/>
      <c r="G4" s="26"/>
      <c r="H4" s="26"/>
      <c r="I4" s="26"/>
      <c r="J4" s="26"/>
      <c r="K4" s="27"/>
      <c r="L4" s="27"/>
      <c r="M4" s="25"/>
      <c r="N4" s="28"/>
      <c r="O4" s="28"/>
      <c r="P4" s="24"/>
      <c r="Q4" s="24"/>
      <c r="R4" s="24"/>
      <c r="S4" s="5"/>
      <c r="T4" s="5"/>
      <c r="U4" s="5"/>
      <c r="V4" s="5"/>
      <c r="W4" s="5"/>
      <c r="X4"/>
      <c r="Z4" s="1"/>
      <c r="AA4" s="1"/>
      <c r="AB4" s="1"/>
      <c r="AC4" s="1"/>
    </row>
    <row r="5" spans="1:29" s="2" customFormat="1" ht="15" customHeight="1">
      <c r="A5"/>
      <c r="B5"/>
      <c r="C5" s="4"/>
      <c r="D5" s="4"/>
      <c r="E5" s="4"/>
      <c r="F5" s="26"/>
      <c r="G5" s="26"/>
      <c r="H5" s="26"/>
      <c r="I5" s="26"/>
      <c r="J5" s="26"/>
      <c r="K5" s="27"/>
      <c r="L5" s="27"/>
      <c r="M5" s="25"/>
      <c r="N5" s="28"/>
      <c r="O5" s="29"/>
      <c r="P5" s="24"/>
      <c r="Q5" s="24"/>
      <c r="R5" s="24"/>
      <c r="S5" s="5"/>
      <c r="T5" s="5"/>
      <c r="U5" s="5"/>
      <c r="V5" s="5"/>
      <c r="W5" s="5"/>
      <c r="X5"/>
      <c r="Z5" s="1"/>
      <c r="AA5" s="1"/>
      <c r="AB5" s="1"/>
      <c r="AC5" s="1"/>
    </row>
    <row r="6" spans="1:29">
      <c r="F6" s="30"/>
      <c r="G6" s="30"/>
      <c r="H6" s="30"/>
      <c r="I6" s="30"/>
      <c r="J6" s="30"/>
      <c r="K6" s="30"/>
      <c r="L6" s="30"/>
      <c r="M6" s="30"/>
      <c r="N6" s="30"/>
      <c r="O6" s="30"/>
    </row>
    <row r="7" spans="1:29" ht="15" thickBot="1"/>
    <row r="8" spans="1:29" ht="20.5" thickBot="1">
      <c r="B8" s="240" t="s">
        <v>20</v>
      </c>
      <c r="C8" s="241"/>
      <c r="D8" s="242"/>
    </row>
    <row r="9" spans="1:29" ht="15" thickBot="1">
      <c r="C9" s="11"/>
    </row>
    <row r="10" spans="1:29" ht="15" thickBot="1">
      <c r="B10" s="12" t="s">
        <v>0</v>
      </c>
      <c r="C10" s="13" t="s">
        <v>1</v>
      </c>
      <c r="D10" s="12" t="s">
        <v>2</v>
      </c>
    </row>
    <row r="11" spans="1:29" outlineLevel="2">
      <c r="B11" s="14" t="s">
        <v>3</v>
      </c>
      <c r="C11" s="15">
        <v>34856</v>
      </c>
      <c r="D11" s="16">
        <v>565544</v>
      </c>
    </row>
    <row r="12" spans="1:29" s="2" customFormat="1" outlineLevel="2">
      <c r="A12"/>
      <c r="B12" s="14" t="s">
        <v>3</v>
      </c>
      <c r="C12" s="17">
        <v>25221</v>
      </c>
      <c r="D12" s="18">
        <v>45214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 s="1"/>
      <c r="X12" s="1"/>
      <c r="Z12" s="1"/>
      <c r="AA12" s="1"/>
      <c r="AB12" s="1"/>
      <c r="AC12" s="1"/>
    </row>
    <row r="13" spans="1:29" s="2" customFormat="1" outlineLevel="2">
      <c r="A13"/>
      <c r="B13" s="14" t="s">
        <v>3</v>
      </c>
      <c r="C13" s="17">
        <v>9857</v>
      </c>
      <c r="D13" s="18">
        <v>225663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 s="1"/>
      <c r="X13" s="1"/>
      <c r="Z13" s="1"/>
      <c r="AA13" s="1"/>
      <c r="AB13" s="1"/>
      <c r="AC13" s="1"/>
    </row>
    <row r="14" spans="1:29" s="2" customFormat="1" outlineLevel="2">
      <c r="A14"/>
      <c r="B14" s="14" t="s">
        <v>3</v>
      </c>
      <c r="C14" s="17">
        <v>22336</v>
      </c>
      <c r="D14" s="18">
        <v>253654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 s="1"/>
      <c r="X14" s="1"/>
      <c r="Z14" s="1"/>
      <c r="AA14" s="1"/>
      <c r="AB14" s="1"/>
      <c r="AC14" s="1"/>
    </row>
    <row r="15" spans="1:29" s="2" customFormat="1" outlineLevel="2">
      <c r="A15"/>
      <c r="B15" s="14" t="s">
        <v>3</v>
      </c>
      <c r="C15" s="17">
        <v>9587</v>
      </c>
      <c r="D15" s="18">
        <v>896542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 s="1"/>
      <c r="X15" s="1"/>
      <c r="Z15" s="1"/>
      <c r="AA15" s="1"/>
      <c r="AB15" s="1"/>
      <c r="AC15" s="1"/>
    </row>
    <row r="16" spans="1:29" s="2" customFormat="1" outlineLevel="1">
      <c r="A16"/>
      <c r="B16" s="14" t="s">
        <v>131</v>
      </c>
      <c r="C16" s="17">
        <f>SUBTOTAL(9,C11:C15)</f>
        <v>101857</v>
      </c>
      <c r="D16" s="18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 s="1"/>
      <c r="X16" s="1"/>
      <c r="Z16" s="1"/>
      <c r="AA16" s="1"/>
      <c r="AB16" s="1"/>
      <c r="AC16" s="1"/>
    </row>
    <row r="17" spans="1:29" s="2" customFormat="1" outlineLevel="2">
      <c r="A17"/>
      <c r="B17" s="19" t="s">
        <v>4</v>
      </c>
      <c r="C17" s="17">
        <v>9852</v>
      </c>
      <c r="D17" s="18">
        <v>12544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 s="1"/>
      <c r="X17" s="1"/>
      <c r="Z17" s="1"/>
      <c r="AA17" s="1"/>
      <c r="AB17" s="1"/>
      <c r="AC17" s="1"/>
    </row>
    <row r="18" spans="1:29" s="2" customFormat="1" outlineLevel="2">
      <c r="A18"/>
      <c r="B18" s="19" t="s">
        <v>4</v>
      </c>
      <c r="C18" s="17">
        <v>11125</v>
      </c>
      <c r="D18" s="18">
        <v>25413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Z18" s="1"/>
      <c r="AA18" s="1"/>
      <c r="AB18" s="1"/>
      <c r="AC18" s="1"/>
    </row>
    <row r="19" spans="1:29" s="2" customFormat="1" outlineLevel="2">
      <c r="A19"/>
      <c r="B19" s="19" t="s">
        <v>4</v>
      </c>
      <c r="C19" s="17">
        <v>32556</v>
      </c>
      <c r="D19" s="18">
        <v>44474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Z19" s="1"/>
      <c r="AA19" s="1"/>
      <c r="AB19" s="1"/>
      <c r="AC19" s="1"/>
    </row>
    <row r="20" spans="1:29" s="2" customFormat="1" outlineLevel="2">
      <c r="A20"/>
      <c r="B20" s="19" t="s">
        <v>4</v>
      </c>
      <c r="C20" s="17">
        <v>45201</v>
      </c>
      <c r="D20" s="18">
        <v>142122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Z20" s="1"/>
      <c r="AA20" s="1"/>
      <c r="AB20" s="1"/>
      <c r="AC20" s="1"/>
    </row>
    <row r="21" spans="1:29" s="2" customFormat="1" outlineLevel="2">
      <c r="A21"/>
      <c r="B21" s="19" t="s">
        <v>4</v>
      </c>
      <c r="C21" s="17">
        <v>36982</v>
      </c>
      <c r="D21" s="18">
        <v>112253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Z21" s="1"/>
      <c r="AA21" s="1"/>
      <c r="AB21" s="1"/>
      <c r="AC21" s="1"/>
    </row>
    <row r="22" spans="1:29" s="2" customFormat="1" outlineLevel="2">
      <c r="A22"/>
      <c r="B22" s="19" t="s">
        <v>4</v>
      </c>
      <c r="C22" s="17">
        <v>41145</v>
      </c>
      <c r="D22" s="18">
        <v>121217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Z22" s="1"/>
      <c r="AA22" s="1"/>
      <c r="AB22" s="1"/>
      <c r="AC22" s="1"/>
    </row>
    <row r="23" spans="1:29" s="2" customFormat="1" outlineLevel="2">
      <c r="A23"/>
      <c r="B23" s="19" t="s">
        <v>4</v>
      </c>
      <c r="C23" s="17">
        <v>56632</v>
      </c>
      <c r="D23" s="18">
        <v>655554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Z23" s="1"/>
      <c r="AA23" s="1"/>
      <c r="AB23" s="1"/>
      <c r="AC23" s="1"/>
    </row>
    <row r="24" spans="1:29" s="2" customFormat="1" outlineLevel="2">
      <c r="A24"/>
      <c r="B24" s="19" t="s">
        <v>4</v>
      </c>
      <c r="C24" s="17">
        <v>41212</v>
      </c>
      <c r="D24" s="18">
        <v>561221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Z24" s="1"/>
      <c r="AA24" s="1"/>
      <c r="AB24" s="1"/>
      <c r="AC24" s="1"/>
    </row>
    <row r="25" spans="1:29" s="2" customFormat="1" outlineLevel="1">
      <c r="A25"/>
      <c r="B25" s="19" t="s">
        <v>132</v>
      </c>
      <c r="C25" s="17">
        <f>SUBTOTAL(9,C17:C24)</f>
        <v>274705</v>
      </c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Z25" s="1"/>
      <c r="AA25" s="1"/>
      <c r="AB25" s="1"/>
      <c r="AC25" s="1"/>
    </row>
    <row r="26" spans="1:29" s="2" customFormat="1" outlineLevel="2">
      <c r="A26"/>
      <c r="B26" s="19" t="s">
        <v>5</v>
      </c>
      <c r="C26" s="17">
        <v>19857</v>
      </c>
      <c r="D26" s="18">
        <v>121112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Z26" s="1"/>
      <c r="AA26" s="1"/>
      <c r="AB26" s="1"/>
      <c r="AC26" s="1"/>
    </row>
    <row r="27" spans="1:29" s="2" customFormat="1" outlineLevel="2">
      <c r="A27"/>
      <c r="B27" s="19" t="s">
        <v>5</v>
      </c>
      <c r="C27" s="17">
        <v>11741</v>
      </c>
      <c r="D27" s="18">
        <v>554112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Z27" s="1"/>
      <c r="AA27" s="1"/>
      <c r="AB27" s="1"/>
      <c r="AC27" s="1"/>
    </row>
    <row r="28" spans="1:29" s="2" customFormat="1" outlineLevel="2">
      <c r="A28"/>
      <c r="B28" s="19" t="s">
        <v>5</v>
      </c>
      <c r="C28" s="17">
        <v>22123</v>
      </c>
      <c r="D28" s="18">
        <v>185477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Z28" s="1"/>
      <c r="AA28" s="1"/>
      <c r="AB28" s="1"/>
      <c r="AC28" s="1"/>
    </row>
    <row r="29" spans="1:29" s="2" customFormat="1" outlineLevel="2">
      <c r="A29"/>
      <c r="B29" s="19" t="s">
        <v>5</v>
      </c>
      <c r="C29" s="17">
        <v>12365</v>
      </c>
      <c r="D29" s="18">
        <v>211456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Z29" s="1"/>
      <c r="AA29" s="1"/>
      <c r="AB29" s="1"/>
      <c r="AC29" s="1"/>
    </row>
    <row r="30" spans="1:29" s="2" customFormat="1" outlineLevel="2">
      <c r="A30"/>
      <c r="B30" s="19" t="s">
        <v>5</v>
      </c>
      <c r="C30" s="17">
        <v>6442</v>
      </c>
      <c r="D30" s="18">
        <v>121221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Z30" s="1"/>
      <c r="AA30" s="1"/>
      <c r="AB30" s="1"/>
      <c r="AC30" s="1"/>
    </row>
    <row r="31" spans="1:29" s="2" customFormat="1" outlineLevel="2">
      <c r="A31"/>
      <c r="B31" s="19" t="s">
        <v>5</v>
      </c>
      <c r="C31" s="17">
        <v>36985</v>
      </c>
      <c r="D31" s="18">
        <v>653222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Z31" s="1"/>
      <c r="AA31" s="1"/>
      <c r="AB31" s="1"/>
      <c r="AC31" s="1"/>
    </row>
    <row r="32" spans="1:29" s="2" customFormat="1" outlineLevel="1">
      <c r="A32"/>
      <c r="B32" s="19" t="s">
        <v>133</v>
      </c>
      <c r="C32" s="17">
        <f>SUBTOTAL(9,C26:C31)</f>
        <v>109513</v>
      </c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Z32" s="1"/>
      <c r="AA32" s="1"/>
      <c r="AB32" s="1"/>
      <c r="AC32" s="1"/>
    </row>
    <row r="33" spans="1:29" s="2" customFormat="1" outlineLevel="2">
      <c r="A33"/>
      <c r="B33" s="19" t="s">
        <v>6</v>
      </c>
      <c r="C33" s="17">
        <v>1256</v>
      </c>
      <c r="D33" s="18">
        <v>363512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Z33" s="1"/>
      <c r="AA33" s="1"/>
      <c r="AB33" s="1"/>
      <c r="AC33" s="1"/>
    </row>
    <row r="34" spans="1:29" s="2" customFormat="1" outlineLevel="2">
      <c r="A34"/>
      <c r="B34" s="19" t="s">
        <v>6</v>
      </c>
      <c r="C34" s="17">
        <v>985</v>
      </c>
      <c r="D34" s="18">
        <v>633221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Z34" s="1"/>
      <c r="AA34" s="1"/>
      <c r="AB34" s="1"/>
      <c r="AC34" s="1"/>
    </row>
    <row r="35" spans="1:29" s="2" customFormat="1" outlineLevel="2">
      <c r="A35"/>
      <c r="B35" s="19" t="s">
        <v>6</v>
      </c>
      <c r="C35" s="17">
        <v>46654.22</v>
      </c>
      <c r="D35" s="18">
        <v>545445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Z35" s="1"/>
      <c r="AA35" s="1"/>
      <c r="AB35" s="1"/>
      <c r="AC35" s="1"/>
    </row>
    <row r="36" spans="1:29" s="2" customFormat="1" outlineLevel="2">
      <c r="A36"/>
      <c r="B36" s="19" t="s">
        <v>6</v>
      </c>
      <c r="C36" s="17">
        <v>47242.16</v>
      </c>
      <c r="D36" s="18">
        <v>144587</v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Z36" s="1"/>
      <c r="AA36" s="1"/>
      <c r="AB36" s="1"/>
      <c r="AC36" s="1"/>
    </row>
    <row r="37" spans="1:29" s="1" customFormat="1" outlineLevel="2">
      <c r="B37" s="19" t="s">
        <v>6</v>
      </c>
      <c r="C37" s="17">
        <v>47885.47</v>
      </c>
      <c r="D37" s="18">
        <v>152214</v>
      </c>
      <c r="Y37" s="2"/>
    </row>
    <row r="38" spans="1:29" s="1" customFormat="1" outlineLevel="2">
      <c r="B38" s="19" t="s">
        <v>6</v>
      </c>
      <c r="C38" s="17">
        <v>48420.45</v>
      </c>
      <c r="D38" s="18">
        <v>155634</v>
      </c>
      <c r="Y38" s="2"/>
    </row>
    <row r="39" spans="1:29" s="1" customFormat="1" outlineLevel="1">
      <c r="B39" s="19" t="s">
        <v>134</v>
      </c>
      <c r="C39" s="17">
        <f>SUBTOTAL(9,C33:C38)</f>
        <v>192443.3</v>
      </c>
      <c r="D39" s="18"/>
      <c r="Y39" s="2"/>
    </row>
    <row r="40" spans="1:29" s="1" customFormat="1" outlineLevel="2">
      <c r="B40" s="19" t="s">
        <v>7</v>
      </c>
      <c r="C40" s="17">
        <v>11232</v>
      </c>
      <c r="D40" s="18">
        <v>212211</v>
      </c>
      <c r="Y40" s="2"/>
    </row>
    <row r="41" spans="1:29" s="1" customFormat="1" outlineLevel="2">
      <c r="B41" s="19" t="s">
        <v>7</v>
      </c>
      <c r="C41" s="17">
        <v>15254</v>
      </c>
      <c r="D41" s="18">
        <v>985589</v>
      </c>
      <c r="Y41" s="2"/>
    </row>
    <row r="42" spans="1:29" s="1" customFormat="1" outlineLevel="2">
      <c r="B42" s="19" t="s">
        <v>7</v>
      </c>
      <c r="C42" s="17">
        <v>89954</v>
      </c>
      <c r="D42" s="18">
        <v>774444</v>
      </c>
      <c r="Y42" s="2"/>
    </row>
    <row r="43" spans="1:29" outlineLevel="2">
      <c r="B43" s="19" t="s">
        <v>7</v>
      </c>
      <c r="C43" s="17">
        <v>78564</v>
      </c>
      <c r="D43" s="18">
        <v>985574</v>
      </c>
    </row>
    <row r="44" spans="1:29" outlineLevel="2">
      <c r="B44" s="19" t="s">
        <v>7</v>
      </c>
      <c r="C44" s="17">
        <v>48963</v>
      </c>
      <c r="D44" s="20">
        <v>896523</v>
      </c>
    </row>
    <row r="45" spans="1:29" outlineLevel="2">
      <c r="B45" s="19" t="s">
        <v>7</v>
      </c>
      <c r="C45" s="17">
        <v>6554</v>
      </c>
      <c r="D45" s="18">
        <v>554121</v>
      </c>
    </row>
    <row r="46" spans="1:29" outlineLevel="2">
      <c r="B46" s="19" t="s">
        <v>7</v>
      </c>
      <c r="C46" s="17">
        <v>2245</v>
      </c>
      <c r="D46" s="18">
        <v>541223</v>
      </c>
    </row>
    <row r="47" spans="1:29" outlineLevel="2">
      <c r="B47" s="19" t="s">
        <v>7</v>
      </c>
      <c r="C47" s="17">
        <v>6552</v>
      </c>
      <c r="D47" s="18">
        <v>411522</v>
      </c>
    </row>
    <row r="48" spans="1:29" outlineLevel="1">
      <c r="B48" s="19" t="s">
        <v>135</v>
      </c>
      <c r="C48" s="17">
        <f>SUBTOTAL(9,C40:C47)</f>
        <v>259318</v>
      </c>
      <c r="D48" s="18"/>
    </row>
    <row r="49" spans="2:4" outlineLevel="2">
      <c r="B49" s="19" t="s">
        <v>8</v>
      </c>
      <c r="C49" s="17">
        <v>2256</v>
      </c>
      <c r="D49" s="18">
        <v>411223</v>
      </c>
    </row>
    <row r="50" spans="2:4" outlineLevel="2">
      <c r="B50" s="19" t="s">
        <v>8</v>
      </c>
      <c r="C50" s="17">
        <v>9874</v>
      </c>
      <c r="D50" s="18">
        <v>411244</v>
      </c>
    </row>
    <row r="51" spans="2:4" outlineLevel="2">
      <c r="B51" s="19" t="s">
        <v>8</v>
      </c>
      <c r="C51" s="17">
        <v>5555</v>
      </c>
      <c r="D51" s="18">
        <v>221412</v>
      </c>
    </row>
    <row r="52" spans="2:4" outlineLevel="2">
      <c r="B52" s="19" t="s">
        <v>8</v>
      </c>
      <c r="C52" s="17">
        <v>22251</v>
      </c>
      <c r="D52" s="18">
        <v>21555</v>
      </c>
    </row>
    <row r="53" spans="2:4" outlineLevel="2">
      <c r="B53" s="19" t="s">
        <v>8</v>
      </c>
      <c r="C53" s="17">
        <v>19852</v>
      </c>
      <c r="D53" s="18">
        <v>15452</v>
      </c>
    </row>
    <row r="54" spans="2:4" outlineLevel="2">
      <c r="B54" s="19" t="s">
        <v>8</v>
      </c>
      <c r="C54" s="17">
        <v>48963</v>
      </c>
      <c r="D54" s="18">
        <v>256314</v>
      </c>
    </row>
    <row r="55" spans="2:4" outlineLevel="2">
      <c r="B55" s="19" t="s">
        <v>8</v>
      </c>
      <c r="C55" s="17">
        <v>14411</v>
      </c>
      <c r="D55" s="18">
        <v>115474</v>
      </c>
    </row>
    <row r="56" spans="2:4" outlineLevel="1">
      <c r="B56" s="19" t="s">
        <v>136</v>
      </c>
      <c r="C56" s="17">
        <f>SUBTOTAL(9,C49:C55)</f>
        <v>123162</v>
      </c>
      <c r="D56" s="18"/>
    </row>
    <row r="57" spans="2:4" outlineLevel="2">
      <c r="B57" s="19" t="s">
        <v>9</v>
      </c>
      <c r="C57" s="17">
        <v>142987</v>
      </c>
      <c r="D57" s="18">
        <v>114212</v>
      </c>
    </row>
    <row r="58" spans="2:4" outlineLevel="2">
      <c r="B58" s="19" t="s">
        <v>9</v>
      </c>
      <c r="C58" s="17">
        <v>52698</v>
      </c>
      <c r="D58" s="18">
        <v>256332</v>
      </c>
    </row>
    <row r="59" spans="2:4" outlineLevel="2">
      <c r="B59" s="19" t="s">
        <v>9</v>
      </c>
      <c r="C59" s="17">
        <v>45678</v>
      </c>
      <c r="D59" s="18">
        <v>215211</v>
      </c>
    </row>
    <row r="60" spans="2:4" outlineLevel="2">
      <c r="B60" s="19" t="s">
        <v>9</v>
      </c>
      <c r="C60" s="17">
        <v>12526</v>
      </c>
      <c r="D60" s="18">
        <v>225148</v>
      </c>
    </row>
    <row r="61" spans="2:4" outlineLevel="2">
      <c r="B61" s="19" t="s">
        <v>9</v>
      </c>
      <c r="C61" s="17">
        <v>23456</v>
      </c>
      <c r="D61" s="18">
        <v>256984</v>
      </c>
    </row>
    <row r="62" spans="2:4" outlineLevel="1">
      <c r="B62" s="19" t="s">
        <v>137</v>
      </c>
      <c r="C62" s="17">
        <f>SUBTOTAL(9,C57:C61)</f>
        <v>277345</v>
      </c>
      <c r="D62" s="18"/>
    </row>
    <row r="63" spans="2:4" outlineLevel="2">
      <c r="B63" s="19" t="s">
        <v>10</v>
      </c>
      <c r="C63" s="17">
        <v>97654</v>
      </c>
      <c r="D63" s="18">
        <v>112154</v>
      </c>
    </row>
    <row r="64" spans="2:4" outlineLevel="2">
      <c r="B64" s="19" t="s">
        <v>10</v>
      </c>
      <c r="C64" s="17">
        <v>56789</v>
      </c>
      <c r="D64" s="18">
        <v>248963</v>
      </c>
    </row>
    <row r="65" spans="2:4" outlineLevel="2">
      <c r="B65" s="19" t="s">
        <v>10</v>
      </c>
      <c r="C65" s="17">
        <v>36987</v>
      </c>
      <c r="D65" s="18">
        <v>256489</v>
      </c>
    </row>
    <row r="66" spans="2:4" outlineLevel="2">
      <c r="B66" s="19" t="s">
        <v>10</v>
      </c>
      <c r="C66" s="17">
        <v>123456</v>
      </c>
      <c r="D66" s="18">
        <v>122536</v>
      </c>
    </row>
    <row r="67" spans="2:4" outlineLevel="2">
      <c r="B67" s="19" t="s">
        <v>10</v>
      </c>
      <c r="C67" s="17">
        <v>25859</v>
      </c>
      <c r="D67" s="18">
        <v>568854</v>
      </c>
    </row>
    <row r="68" spans="2:4" outlineLevel="2">
      <c r="B68" s="19" t="s">
        <v>10</v>
      </c>
      <c r="C68" s="17">
        <v>17896</v>
      </c>
      <c r="D68" s="18">
        <v>556352</v>
      </c>
    </row>
    <row r="69" spans="2:4" outlineLevel="2">
      <c r="B69" s="19" t="s">
        <v>10</v>
      </c>
      <c r="C69" s="17">
        <v>49076</v>
      </c>
      <c r="D69" s="18">
        <v>552854</v>
      </c>
    </row>
    <row r="70" spans="2:4" outlineLevel="2">
      <c r="B70" s="19" t="s">
        <v>10</v>
      </c>
      <c r="C70" s="17">
        <v>28965</v>
      </c>
      <c r="D70" s="18">
        <v>122525</v>
      </c>
    </row>
    <row r="71" spans="2:4" outlineLevel="2">
      <c r="B71" s="19" t="s">
        <v>10</v>
      </c>
      <c r="C71" s="17">
        <v>36985</v>
      </c>
      <c r="D71" s="18">
        <v>241221</v>
      </c>
    </row>
    <row r="72" spans="2:4" outlineLevel="1">
      <c r="B72" s="19" t="s">
        <v>138</v>
      </c>
      <c r="C72" s="17">
        <f>SUBTOTAL(9,C63:C71)</f>
        <v>473667</v>
      </c>
      <c r="D72" s="18"/>
    </row>
    <row r="73" spans="2:4" outlineLevel="2">
      <c r="B73" s="19" t="s">
        <v>11</v>
      </c>
      <c r="C73" s="17">
        <v>45632</v>
      </c>
      <c r="D73" s="18">
        <v>656254</v>
      </c>
    </row>
    <row r="74" spans="2:4" outlineLevel="2">
      <c r="B74" s="19" t="s">
        <v>11</v>
      </c>
      <c r="C74" s="17">
        <v>24896</v>
      </c>
      <c r="D74" s="18">
        <v>654101</v>
      </c>
    </row>
    <row r="75" spans="2:4" outlineLevel="2">
      <c r="B75" s="19" t="s">
        <v>11</v>
      </c>
      <c r="C75" s="17">
        <v>17596</v>
      </c>
      <c r="D75" s="18">
        <v>556652</v>
      </c>
    </row>
    <row r="76" spans="2:4" outlineLevel="2">
      <c r="B76" s="19" t="s">
        <v>11</v>
      </c>
      <c r="C76" s="17">
        <v>5698</v>
      </c>
      <c r="D76" s="18">
        <v>454541</v>
      </c>
    </row>
    <row r="77" spans="2:4" outlineLevel="2">
      <c r="B77" s="19" t="s">
        <v>11</v>
      </c>
      <c r="C77" s="17">
        <v>9865</v>
      </c>
      <c r="D77" s="18">
        <v>322221</v>
      </c>
    </row>
    <row r="78" spans="2:4" outlineLevel="2">
      <c r="B78" s="19" t="s">
        <v>11</v>
      </c>
      <c r="C78" s="17">
        <v>12365</v>
      </c>
      <c r="D78" s="18">
        <v>256544</v>
      </c>
    </row>
    <row r="79" spans="2:4" outlineLevel="2">
      <c r="B79" s="19" t="s">
        <v>11</v>
      </c>
      <c r="C79" s="17">
        <v>12124</v>
      </c>
      <c r="D79" s="18">
        <v>561121</v>
      </c>
    </row>
    <row r="80" spans="2:4" outlineLevel="2">
      <c r="B80" s="19" t="s">
        <v>11</v>
      </c>
      <c r="C80" s="17">
        <v>18965</v>
      </c>
      <c r="D80" s="18">
        <v>574544</v>
      </c>
    </row>
    <row r="81" spans="2:4" outlineLevel="2">
      <c r="B81" s="19" t="s">
        <v>11</v>
      </c>
      <c r="C81" s="17">
        <v>21145</v>
      </c>
      <c r="D81" s="18">
        <v>157445</v>
      </c>
    </row>
    <row r="82" spans="2:4" outlineLevel="1">
      <c r="B82" s="19" t="s">
        <v>139</v>
      </c>
      <c r="C82" s="17">
        <f>SUBTOTAL(9,C73:C81)</f>
        <v>168286</v>
      </c>
      <c r="D82" s="18"/>
    </row>
    <row r="83" spans="2:4" outlineLevel="2">
      <c r="B83" s="19" t="s">
        <v>12</v>
      </c>
      <c r="C83" s="17">
        <v>14545</v>
      </c>
      <c r="D83" s="18">
        <v>111522</v>
      </c>
    </row>
    <row r="84" spans="2:4" outlineLevel="2">
      <c r="B84" s="19" t="s">
        <v>12</v>
      </c>
      <c r="C84" s="17">
        <v>12566</v>
      </c>
      <c r="D84" s="18">
        <v>112235</v>
      </c>
    </row>
    <row r="85" spans="2:4" outlineLevel="2">
      <c r="B85" s="19" t="s">
        <v>12</v>
      </c>
      <c r="C85" s="17">
        <v>17854</v>
      </c>
      <c r="D85" s="18">
        <v>211142</v>
      </c>
    </row>
    <row r="86" spans="2:4" outlineLevel="2">
      <c r="B86" s="19" t="s">
        <v>12</v>
      </c>
      <c r="C86" s="17">
        <v>19325</v>
      </c>
      <c r="D86" s="18">
        <v>211331</v>
      </c>
    </row>
    <row r="87" spans="2:4" outlineLevel="2">
      <c r="B87" s="19" t="s">
        <v>12</v>
      </c>
      <c r="C87" s="17">
        <v>16544</v>
      </c>
      <c r="D87" s="18">
        <v>654122</v>
      </c>
    </row>
    <row r="88" spans="2:4" outlineLevel="2">
      <c r="B88" s="19" t="s">
        <v>12</v>
      </c>
      <c r="C88" s="17">
        <v>25632</v>
      </c>
      <c r="D88" s="18">
        <v>565213</v>
      </c>
    </row>
    <row r="89" spans="2:4" outlineLevel="1">
      <c r="B89" s="19" t="s">
        <v>140</v>
      </c>
      <c r="C89" s="17">
        <f>SUBTOTAL(9,C83:C88)</f>
        <v>106466</v>
      </c>
      <c r="D89" s="18"/>
    </row>
    <row r="90" spans="2:4" outlineLevel="2">
      <c r="B90" s="19" t="s">
        <v>13</v>
      </c>
      <c r="C90" s="17">
        <v>14567</v>
      </c>
      <c r="D90" s="18">
        <v>263589</v>
      </c>
    </row>
    <row r="91" spans="2:4" outlineLevel="2">
      <c r="B91" s="19" t="s">
        <v>13</v>
      </c>
      <c r="C91" s="17">
        <v>38763</v>
      </c>
      <c r="D91" s="18">
        <v>126655</v>
      </c>
    </row>
    <row r="92" spans="2:4" outlineLevel="2">
      <c r="B92" s="19" t="s">
        <v>13</v>
      </c>
      <c r="C92" s="17">
        <v>14552</v>
      </c>
      <c r="D92" s="20">
        <v>122636</v>
      </c>
    </row>
    <row r="93" spans="2:4" outlineLevel="2">
      <c r="B93" s="19" t="s">
        <v>13</v>
      </c>
      <c r="C93" s="17">
        <v>34567</v>
      </c>
      <c r="D93" s="20">
        <v>156636</v>
      </c>
    </row>
    <row r="94" spans="2:4" outlineLevel="2">
      <c r="B94" s="19" t="s">
        <v>13</v>
      </c>
      <c r="C94" s="17">
        <v>76889</v>
      </c>
      <c r="D94" s="18">
        <v>141252</v>
      </c>
    </row>
    <row r="95" spans="2:4" outlineLevel="2">
      <c r="B95" s="19" t="s">
        <v>13</v>
      </c>
      <c r="C95" s="17">
        <v>34324</v>
      </c>
      <c r="D95" s="18">
        <v>225412</v>
      </c>
    </row>
    <row r="96" spans="2:4" outlineLevel="2">
      <c r="B96" s="19" t="s">
        <v>13</v>
      </c>
      <c r="C96" s="17">
        <v>19976</v>
      </c>
      <c r="D96" s="18">
        <v>365212</v>
      </c>
    </row>
    <row r="97" spans="2:4" outlineLevel="1">
      <c r="B97" s="19" t="s">
        <v>141</v>
      </c>
      <c r="C97" s="17">
        <f>SUBTOTAL(9,C90:C96)</f>
        <v>233638</v>
      </c>
      <c r="D97" s="18"/>
    </row>
    <row r="98" spans="2:4" outlineLevel="2">
      <c r="B98" s="19" t="s">
        <v>14</v>
      </c>
      <c r="C98" s="17">
        <v>115567</v>
      </c>
      <c r="D98" s="18">
        <v>114522</v>
      </c>
    </row>
    <row r="99" spans="2:4" outlineLevel="2">
      <c r="B99" s="19" t="s">
        <v>14</v>
      </c>
      <c r="C99" s="17">
        <v>98756</v>
      </c>
      <c r="D99" s="18">
        <v>655654</v>
      </c>
    </row>
    <row r="100" spans="2:4" outlineLevel="2">
      <c r="B100" s="19" t="s">
        <v>14</v>
      </c>
      <c r="C100" s="17">
        <v>56789</v>
      </c>
      <c r="D100" s="18">
        <v>112554</v>
      </c>
    </row>
    <row r="101" spans="2:4" outlineLevel="2">
      <c r="B101" s="19" t="s">
        <v>14</v>
      </c>
      <c r="C101" s="17">
        <v>65456</v>
      </c>
      <c r="D101" s="18">
        <v>663541</v>
      </c>
    </row>
    <row r="102" spans="2:4" outlineLevel="2">
      <c r="B102" s="19" t="s">
        <v>14</v>
      </c>
      <c r="C102" s="17">
        <v>36789</v>
      </c>
      <c r="D102" s="18">
        <v>211122</v>
      </c>
    </row>
    <row r="103" spans="2:4" outlineLevel="2">
      <c r="B103" s="19" t="s">
        <v>14</v>
      </c>
      <c r="C103" s="17">
        <v>65467</v>
      </c>
      <c r="D103" s="18">
        <v>226541</v>
      </c>
    </row>
    <row r="104" spans="2:4" outlineLevel="2">
      <c r="B104" s="19" t="s">
        <v>14</v>
      </c>
      <c r="C104" s="17">
        <v>23456</v>
      </c>
      <c r="D104" s="18">
        <v>541141</v>
      </c>
    </row>
    <row r="105" spans="2:4" outlineLevel="2">
      <c r="B105" s="19" t="s">
        <v>14</v>
      </c>
      <c r="C105" s="17">
        <v>54322</v>
      </c>
      <c r="D105" s="18">
        <v>522151</v>
      </c>
    </row>
    <row r="106" spans="2:4" outlineLevel="1">
      <c r="B106" s="19" t="s">
        <v>142</v>
      </c>
      <c r="C106" s="17">
        <f>SUBTOTAL(9,C98:C105)</f>
        <v>516602</v>
      </c>
      <c r="D106" s="18"/>
    </row>
    <row r="107" spans="2:4" outlineLevel="2">
      <c r="B107" s="19" t="s">
        <v>15</v>
      </c>
      <c r="C107" s="17">
        <v>14585</v>
      </c>
      <c r="D107" s="20">
        <v>511152</v>
      </c>
    </row>
    <row r="108" spans="2:4" outlineLevel="2">
      <c r="B108" s="19" t="s">
        <v>15</v>
      </c>
      <c r="C108" s="17">
        <v>9876</v>
      </c>
      <c r="D108" s="20">
        <v>656252</v>
      </c>
    </row>
    <row r="109" spans="2:4" outlineLevel="2">
      <c r="B109" s="19" t="s">
        <v>15</v>
      </c>
      <c r="C109" s="17">
        <v>6754</v>
      </c>
      <c r="D109" s="20">
        <v>422112</v>
      </c>
    </row>
    <row r="110" spans="2:4" outlineLevel="2">
      <c r="B110" s="19" t="s">
        <v>15</v>
      </c>
      <c r="C110" s="17">
        <v>3456</v>
      </c>
      <c r="D110" s="18">
        <v>212221</v>
      </c>
    </row>
    <row r="111" spans="2:4" outlineLevel="1">
      <c r="B111" s="19" t="s">
        <v>143</v>
      </c>
      <c r="C111" s="17">
        <f>SUBTOTAL(9,C107:C110)</f>
        <v>34671</v>
      </c>
      <c r="D111" s="18"/>
    </row>
    <row r="112" spans="2:4" outlineLevel="2">
      <c r="B112" s="19" t="s">
        <v>16</v>
      </c>
      <c r="C112" s="17">
        <v>45678</v>
      </c>
      <c r="D112" s="18">
        <v>332211</v>
      </c>
    </row>
    <row r="113" spans="2:26" outlineLevel="2">
      <c r="B113" s="19" t="s">
        <v>16</v>
      </c>
      <c r="C113" s="17">
        <v>32456</v>
      </c>
      <c r="D113" s="18">
        <v>445643</v>
      </c>
      <c r="Z113" s="1" t="s">
        <v>21</v>
      </c>
    </row>
    <row r="114" spans="2:26" outlineLevel="2">
      <c r="B114" s="19" t="s">
        <v>16</v>
      </c>
      <c r="C114" s="17">
        <v>12347</v>
      </c>
      <c r="D114" s="18">
        <v>754455</v>
      </c>
    </row>
    <row r="115" spans="2:26" outlineLevel="2">
      <c r="B115" s="19" t="s">
        <v>16</v>
      </c>
      <c r="C115" s="17">
        <v>97900</v>
      </c>
      <c r="D115" s="18">
        <v>654766</v>
      </c>
    </row>
    <row r="116" spans="2:26" outlineLevel="2">
      <c r="B116" s="19" t="s">
        <v>16</v>
      </c>
      <c r="C116" s="17">
        <v>13456</v>
      </c>
      <c r="D116" s="18">
        <v>768543</v>
      </c>
    </row>
    <row r="117" spans="2:26" outlineLevel="2">
      <c r="B117" s="19" t="s">
        <v>16</v>
      </c>
      <c r="C117" s="17">
        <v>78954</v>
      </c>
      <c r="D117" s="18">
        <v>343456</v>
      </c>
    </row>
    <row r="118" spans="2:26" outlineLevel="1">
      <c r="B118" s="19" t="s">
        <v>144</v>
      </c>
      <c r="C118" s="17">
        <f>SUBTOTAL(9,C112:C117)</f>
        <v>280791</v>
      </c>
      <c r="D118" s="18"/>
    </row>
    <row r="119" spans="2:26" outlineLevel="2">
      <c r="B119" s="19" t="s">
        <v>17</v>
      </c>
      <c r="C119" s="17">
        <v>16789</v>
      </c>
      <c r="D119" s="18">
        <v>552111</v>
      </c>
    </row>
    <row r="120" spans="2:26" outlineLevel="2">
      <c r="B120" s="19" t="s">
        <v>17</v>
      </c>
      <c r="C120" s="17">
        <v>56789</v>
      </c>
      <c r="D120" s="18">
        <v>256332</v>
      </c>
    </row>
    <row r="121" spans="2:26" outlineLevel="2">
      <c r="B121" s="19" t="s">
        <v>17</v>
      </c>
      <c r="C121" s="17">
        <v>23456</v>
      </c>
      <c r="D121" s="18">
        <v>554232</v>
      </c>
    </row>
    <row r="122" spans="2:26" outlineLevel="2">
      <c r="B122" s="19" t="s">
        <v>17</v>
      </c>
      <c r="C122" s="17">
        <v>65432</v>
      </c>
      <c r="D122" s="18">
        <v>455524</v>
      </c>
    </row>
    <row r="123" spans="2:26" outlineLevel="2">
      <c r="B123" s="19" t="s">
        <v>17</v>
      </c>
      <c r="C123" s="17">
        <v>21234</v>
      </c>
      <c r="D123" s="18">
        <v>556321</v>
      </c>
    </row>
    <row r="124" spans="2:26" outlineLevel="2">
      <c r="B124" s="19" t="s">
        <v>17</v>
      </c>
      <c r="C124" s="17">
        <v>11224</v>
      </c>
      <c r="D124" s="18">
        <v>541255</v>
      </c>
    </row>
    <row r="125" spans="2:26" outlineLevel="1">
      <c r="B125" s="19" t="s">
        <v>145</v>
      </c>
      <c r="C125" s="17">
        <f>SUBTOTAL(9,C119:C124)</f>
        <v>194924</v>
      </c>
      <c r="D125" s="18"/>
    </row>
    <row r="126" spans="2:26" outlineLevel="2">
      <c r="B126" s="19" t="s">
        <v>18</v>
      </c>
      <c r="C126" s="17">
        <v>17525</v>
      </c>
      <c r="D126" s="18">
        <v>526321</v>
      </c>
    </row>
    <row r="127" spans="2:26" outlineLevel="2">
      <c r="B127" s="19" t="s">
        <v>18</v>
      </c>
      <c r="C127" s="17">
        <v>25983</v>
      </c>
      <c r="D127" s="18">
        <v>565121</v>
      </c>
    </row>
    <row r="128" spans="2:26" outlineLevel="2">
      <c r="B128" s="19" t="s">
        <v>18</v>
      </c>
      <c r="C128" s="17">
        <v>56662</v>
      </c>
      <c r="D128" s="18">
        <v>231566</v>
      </c>
    </row>
    <row r="129" spans="2:4" outlineLevel="2">
      <c r="B129" s="19" t="s">
        <v>18</v>
      </c>
      <c r="C129" s="17">
        <v>66523</v>
      </c>
      <c r="D129" s="18">
        <v>366544</v>
      </c>
    </row>
    <row r="130" spans="2:4" outlineLevel="2">
      <c r="B130" s="19" t="s">
        <v>18</v>
      </c>
      <c r="C130" s="17">
        <v>89652</v>
      </c>
      <c r="D130" s="18">
        <v>662354</v>
      </c>
    </row>
    <row r="131" spans="2:4" outlineLevel="2">
      <c r="B131" s="19" t="s">
        <v>18</v>
      </c>
      <c r="C131" s="17">
        <v>23365</v>
      </c>
      <c r="D131" s="18">
        <v>665522</v>
      </c>
    </row>
    <row r="132" spans="2:4" outlineLevel="2">
      <c r="B132" s="19" t="s">
        <v>18</v>
      </c>
      <c r="C132" s="17">
        <v>36985</v>
      </c>
      <c r="D132" s="20">
        <v>668523</v>
      </c>
    </row>
    <row r="133" spans="2:4" outlineLevel="2">
      <c r="B133" s="19" t="s">
        <v>18</v>
      </c>
      <c r="C133" s="17">
        <v>56635</v>
      </c>
      <c r="D133" s="18">
        <v>555441</v>
      </c>
    </row>
    <row r="134" spans="2:4" outlineLevel="1">
      <c r="B134" s="19" t="s">
        <v>146</v>
      </c>
      <c r="C134" s="17">
        <f>SUBTOTAL(9,C126:C133)</f>
        <v>373330</v>
      </c>
      <c r="D134" s="18"/>
    </row>
    <row r="135" spans="2:4" outlineLevel="2">
      <c r="B135" s="19" t="s">
        <v>19</v>
      </c>
      <c r="C135" s="17">
        <v>113456</v>
      </c>
      <c r="D135" s="18">
        <v>122000</v>
      </c>
    </row>
    <row r="136" spans="2:4" outlineLevel="2">
      <c r="B136" s="19" t="s">
        <v>19</v>
      </c>
      <c r="C136" s="17">
        <v>97654</v>
      </c>
      <c r="D136" s="18">
        <v>454545</v>
      </c>
    </row>
    <row r="137" spans="2:4" outlineLevel="2">
      <c r="B137" s="19" t="s">
        <v>19</v>
      </c>
      <c r="C137" s="17">
        <v>22234</v>
      </c>
      <c r="D137" s="18">
        <v>565544</v>
      </c>
    </row>
    <row r="138" spans="2:4" outlineLevel="2">
      <c r="B138" s="19" t="s">
        <v>19</v>
      </c>
      <c r="C138" s="17">
        <v>33456</v>
      </c>
      <c r="D138" s="18">
        <v>556441</v>
      </c>
    </row>
    <row r="139" spans="2:4" outlineLevel="2">
      <c r="B139" s="19" t="s">
        <v>19</v>
      </c>
      <c r="C139" s="17">
        <v>35872</v>
      </c>
      <c r="D139" s="18">
        <v>556544</v>
      </c>
    </row>
    <row r="140" spans="2:4" outlineLevel="2">
      <c r="B140" s="19" t="s">
        <v>19</v>
      </c>
      <c r="C140" s="17">
        <v>25893</v>
      </c>
      <c r="D140" s="18">
        <v>122533</v>
      </c>
    </row>
    <row r="141" spans="2:4" ht="15" outlineLevel="2" thickBot="1">
      <c r="B141" s="21" t="s">
        <v>19</v>
      </c>
      <c r="C141" s="22">
        <v>65891</v>
      </c>
      <c r="D141" s="23">
        <v>125221</v>
      </c>
    </row>
    <row r="142" spans="2:4" outlineLevel="1">
      <c r="B142" s="153" t="s">
        <v>147</v>
      </c>
      <c r="C142" s="154">
        <f>SUBTOTAL(9,C135:C141)</f>
        <v>394456</v>
      </c>
      <c r="D142" s="155"/>
    </row>
    <row r="143" spans="2:4">
      <c r="B143" s="153" t="s">
        <v>148</v>
      </c>
      <c r="C143" s="154">
        <f>SUBTOTAL(9,C11:C141)</f>
        <v>4115174.3</v>
      </c>
      <c r="D143" s="155"/>
    </row>
  </sheetData>
  <mergeCells count="1">
    <mergeCell ref="B8:D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3:AC125"/>
  <sheetViews>
    <sheetView showGridLines="0" topLeftCell="D1" zoomScaleNormal="100" workbookViewId="0">
      <selection activeCell="G5" sqref="G5"/>
    </sheetView>
  </sheetViews>
  <sheetFormatPr defaultRowHeight="14.5"/>
  <cols>
    <col min="1" max="1" width="5.54296875" customWidth="1"/>
    <col min="2" max="2" width="52.54296875" customWidth="1"/>
    <col min="3" max="3" width="14.26953125" bestFit="1" customWidth="1"/>
    <col min="4" max="4" width="17.54296875" bestFit="1" customWidth="1"/>
    <col min="5" max="5" width="11.54296875" customWidth="1"/>
    <col min="6" max="6" width="34.81640625" customWidth="1"/>
    <col min="7" max="7" width="30.7265625" customWidth="1"/>
    <col min="8" max="8" width="0.26953125" customWidth="1"/>
    <col min="15" max="15" width="11.81640625" customWidth="1"/>
    <col min="25" max="25" width="9.1796875" style="2"/>
    <col min="26" max="28" width="9.1796875" style="1"/>
    <col min="29" max="29" width="10.26953125" style="1" customWidth="1"/>
  </cols>
  <sheetData>
    <row r="3" spans="1:29" s="2" customFormat="1" ht="15" customHeight="1">
      <c r="A3"/>
      <c r="B3"/>
      <c r="C3" s="4"/>
      <c r="D3" s="4"/>
      <c r="E3" s="4"/>
      <c r="F3" s="25"/>
      <c r="G3" s="25"/>
      <c r="H3" s="25"/>
      <c r="I3" s="25"/>
      <c r="J3" s="25"/>
      <c r="K3" s="25"/>
      <c r="L3" s="25"/>
      <c r="M3" s="25"/>
      <c r="N3" s="25"/>
      <c r="O3" s="25"/>
      <c r="P3" s="6"/>
      <c r="Q3" s="6"/>
      <c r="R3" s="6"/>
      <c r="S3" s="5"/>
      <c r="T3" s="5"/>
      <c r="U3" s="5"/>
      <c r="V3" s="5"/>
      <c r="W3" s="5"/>
      <c r="X3"/>
      <c r="Z3" s="1"/>
      <c r="AA3" s="1"/>
      <c r="AB3" s="1"/>
      <c r="AC3" s="1"/>
    </row>
    <row r="4" spans="1:29" s="2" customFormat="1" ht="15" customHeight="1">
      <c r="A4"/>
      <c r="B4"/>
      <c r="C4" s="4"/>
      <c r="D4" s="4"/>
      <c r="E4" s="4"/>
      <c r="F4" s="26"/>
      <c r="G4" s="26"/>
      <c r="H4" s="26"/>
      <c r="I4" s="26"/>
      <c r="J4" s="26"/>
      <c r="K4" s="27"/>
      <c r="L4" s="27"/>
      <c r="M4" s="25"/>
      <c r="N4" s="28"/>
      <c r="O4" s="28"/>
      <c r="P4" s="24"/>
      <c r="Q4" s="24"/>
      <c r="R4" s="24"/>
      <c r="S4" s="5"/>
      <c r="T4" s="5"/>
      <c r="U4" s="5"/>
      <c r="V4" s="5"/>
      <c r="W4" s="5"/>
      <c r="X4"/>
      <c r="Z4" s="1"/>
      <c r="AA4" s="1"/>
      <c r="AB4" s="1"/>
      <c r="AC4" s="1"/>
    </row>
    <row r="5" spans="1:29" s="2" customFormat="1" ht="15" customHeight="1">
      <c r="A5"/>
      <c r="B5"/>
      <c r="C5" s="4"/>
      <c r="D5" s="4"/>
      <c r="E5" s="4"/>
      <c r="F5" s="26"/>
      <c r="G5" s="26"/>
      <c r="H5" s="26"/>
      <c r="I5" s="26"/>
      <c r="J5" s="26"/>
      <c r="K5" s="27"/>
      <c r="L5" s="27"/>
      <c r="M5" s="25"/>
      <c r="N5" s="28"/>
      <c r="O5" s="29"/>
      <c r="P5" s="24"/>
      <c r="Q5" s="24"/>
      <c r="R5" s="24"/>
      <c r="S5" s="5"/>
      <c r="T5" s="5"/>
      <c r="U5" s="5"/>
      <c r="V5" s="5"/>
      <c r="W5" s="5"/>
      <c r="X5"/>
      <c r="Z5" s="1"/>
      <c r="AA5" s="1"/>
      <c r="AB5" s="1"/>
      <c r="AC5" s="1"/>
    </row>
    <row r="6" spans="1:29">
      <c r="F6" s="30"/>
      <c r="G6" s="30"/>
      <c r="H6" s="30"/>
      <c r="I6" s="30"/>
      <c r="J6" s="30"/>
      <c r="K6" s="30"/>
      <c r="L6" s="30"/>
      <c r="M6" s="30"/>
      <c r="N6" s="30"/>
      <c r="O6" s="30"/>
    </row>
    <row r="7" spans="1:29" ht="15" thickBot="1"/>
    <row r="8" spans="1:29" ht="20.5" thickBot="1">
      <c r="B8" s="240" t="s">
        <v>50</v>
      </c>
      <c r="C8" s="241"/>
      <c r="D8" s="242"/>
      <c r="F8" s="240" t="s">
        <v>47</v>
      </c>
      <c r="G8" s="241"/>
      <c r="H8" s="242"/>
    </row>
    <row r="9" spans="1:29" ht="16" thickBot="1">
      <c r="C9" s="11"/>
      <c r="F9" s="243"/>
      <c r="G9" s="243"/>
    </row>
    <row r="10" spans="1:29" ht="15" thickBot="1">
      <c r="B10" s="12" t="s">
        <v>0</v>
      </c>
      <c r="C10" s="13" t="s">
        <v>1</v>
      </c>
      <c r="D10" s="12" t="s">
        <v>2</v>
      </c>
      <c r="F10" s="32" t="s">
        <v>0</v>
      </c>
      <c r="G10" s="33" t="s">
        <v>24</v>
      </c>
    </row>
    <row r="11" spans="1:29">
      <c r="B11" s="14" t="s">
        <v>3</v>
      </c>
      <c r="C11" s="15">
        <v>34856</v>
      </c>
      <c r="D11" s="16">
        <v>565544</v>
      </c>
      <c r="F11" s="34" t="s">
        <v>3</v>
      </c>
      <c r="G11" s="156">
        <v>20371.400000000001</v>
      </c>
    </row>
    <row r="12" spans="1:29" s="2" customFormat="1">
      <c r="A12"/>
      <c r="B12" s="14" t="s">
        <v>3</v>
      </c>
      <c r="C12" s="17">
        <v>25221</v>
      </c>
      <c r="D12" s="18">
        <v>45214</v>
      </c>
      <c r="E12"/>
      <c r="F12" s="35" t="s">
        <v>4</v>
      </c>
      <c r="G12" s="157">
        <v>34338.125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 s="1"/>
      <c r="X12" s="1"/>
      <c r="Z12" s="1"/>
      <c r="AA12" s="1"/>
      <c r="AB12" s="1"/>
      <c r="AC12" s="1"/>
    </row>
    <row r="13" spans="1:29" s="2" customFormat="1">
      <c r="A13"/>
      <c r="B13" s="14" t="s">
        <v>3</v>
      </c>
      <c r="C13" s="17">
        <v>9857</v>
      </c>
      <c r="D13" s="18">
        <v>225663</v>
      </c>
      <c r="E13"/>
      <c r="F13" s="35" t="s">
        <v>5</v>
      </c>
      <c r="G13" s="157">
        <v>18252.166666666668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 s="1"/>
      <c r="X13" s="1"/>
      <c r="Z13" s="1"/>
      <c r="AA13" s="1"/>
      <c r="AB13" s="1"/>
      <c r="AC13" s="1"/>
    </row>
    <row r="14" spans="1:29" s="2" customFormat="1">
      <c r="A14"/>
      <c r="B14" s="14" t="s">
        <v>3</v>
      </c>
      <c r="C14" s="17">
        <v>22336</v>
      </c>
      <c r="D14" s="18">
        <v>253654</v>
      </c>
      <c r="E14"/>
      <c r="F14" s="35" t="s">
        <v>6</v>
      </c>
      <c r="G14" s="157">
        <v>32073.883333333331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 s="1"/>
      <c r="X14" s="1"/>
      <c r="Z14" s="1"/>
      <c r="AA14" s="1"/>
      <c r="AB14" s="1"/>
      <c r="AC14" s="1"/>
    </row>
    <row r="15" spans="1:29" s="2" customFormat="1">
      <c r="A15"/>
      <c r="B15" s="14" t="s">
        <v>3</v>
      </c>
      <c r="C15" s="17">
        <v>9587</v>
      </c>
      <c r="D15" s="18">
        <v>896542</v>
      </c>
      <c r="E15"/>
      <c r="F15" s="35" t="s">
        <v>7</v>
      </c>
      <c r="G15" s="157">
        <v>32414.75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 s="1"/>
      <c r="X15" s="1"/>
      <c r="Z15" s="1"/>
      <c r="AA15" s="1"/>
      <c r="AB15" s="1"/>
      <c r="AC15" s="1"/>
    </row>
    <row r="16" spans="1:29" s="2" customFormat="1">
      <c r="A16"/>
      <c r="B16" s="19" t="s">
        <v>4</v>
      </c>
      <c r="C16" s="17">
        <v>9852</v>
      </c>
      <c r="D16" s="18">
        <v>12544</v>
      </c>
      <c r="E16"/>
      <c r="F16" s="35" t="s">
        <v>8</v>
      </c>
      <c r="G16" s="157">
        <v>17594.571428571428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 s="1"/>
      <c r="X16" s="1"/>
      <c r="Z16" s="1"/>
      <c r="AA16" s="1"/>
      <c r="AB16" s="1"/>
      <c r="AC16" s="1"/>
    </row>
    <row r="17" spans="1:29" s="2" customFormat="1">
      <c r="A17"/>
      <c r="B17" s="19" t="s">
        <v>4</v>
      </c>
      <c r="C17" s="17">
        <v>11125</v>
      </c>
      <c r="D17" s="18">
        <v>25413</v>
      </c>
      <c r="E17" s="1"/>
      <c r="F17" s="35" t="s">
        <v>9</v>
      </c>
      <c r="G17" s="157">
        <v>55469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Z17" s="1"/>
      <c r="AA17" s="1"/>
      <c r="AB17" s="1"/>
      <c r="AC17" s="1"/>
    </row>
    <row r="18" spans="1:29" s="2" customFormat="1">
      <c r="A18"/>
      <c r="B18" s="19" t="s">
        <v>4</v>
      </c>
      <c r="C18" s="17">
        <v>32556</v>
      </c>
      <c r="D18" s="18">
        <v>44474</v>
      </c>
      <c r="E18" s="1"/>
      <c r="F18" s="35" t="s">
        <v>10</v>
      </c>
      <c r="G18" s="157">
        <v>52629.666666666664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Z18" s="1"/>
      <c r="AA18" s="1"/>
      <c r="AB18" s="1"/>
      <c r="AC18" s="1"/>
    </row>
    <row r="19" spans="1:29" s="2" customFormat="1">
      <c r="A19"/>
      <c r="B19" s="19" t="s">
        <v>4</v>
      </c>
      <c r="C19" s="17">
        <v>45201</v>
      </c>
      <c r="D19" s="18">
        <v>142122</v>
      </c>
      <c r="E19" s="1"/>
      <c r="F19" s="35" t="s">
        <v>11</v>
      </c>
      <c r="G19" s="157">
        <v>18698.444444444445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Z19" s="1"/>
      <c r="AA19" s="1"/>
      <c r="AB19" s="1"/>
      <c r="AC19" s="1"/>
    </row>
    <row r="20" spans="1:29" s="2" customFormat="1">
      <c r="A20"/>
      <c r="B20" s="19" t="s">
        <v>4</v>
      </c>
      <c r="C20" s="17">
        <v>36982</v>
      </c>
      <c r="D20" s="18">
        <v>112253</v>
      </c>
      <c r="E20" s="1"/>
      <c r="F20" s="35" t="s">
        <v>12</v>
      </c>
      <c r="G20" s="157">
        <v>17744.333333333332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Z20" s="1"/>
      <c r="AA20" s="1"/>
      <c r="AB20" s="1"/>
      <c r="AC20" s="1"/>
    </row>
    <row r="21" spans="1:29" s="2" customFormat="1">
      <c r="A21"/>
      <c r="B21" s="19" t="s">
        <v>4</v>
      </c>
      <c r="C21" s="17">
        <v>41145</v>
      </c>
      <c r="D21" s="18">
        <v>121217</v>
      </c>
      <c r="E21" s="1"/>
      <c r="F21" s="35" t="s">
        <v>13</v>
      </c>
      <c r="G21" s="157">
        <v>33376.857142857145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Z21" s="1"/>
      <c r="AA21" s="1"/>
      <c r="AB21" s="1"/>
      <c r="AC21" s="1"/>
    </row>
    <row r="22" spans="1:29" s="2" customFormat="1">
      <c r="A22"/>
      <c r="B22" s="19" t="s">
        <v>4</v>
      </c>
      <c r="C22" s="17">
        <v>56632</v>
      </c>
      <c r="D22" s="18">
        <v>655554</v>
      </c>
      <c r="E22" s="1"/>
      <c r="F22" s="35" t="s">
        <v>14</v>
      </c>
      <c r="G22" s="157">
        <v>64575.25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Z22" s="1"/>
      <c r="AA22" s="1"/>
      <c r="AB22" s="1"/>
      <c r="AC22" s="1"/>
    </row>
    <row r="23" spans="1:29" s="2" customFormat="1">
      <c r="A23"/>
      <c r="B23" s="19" t="s">
        <v>4</v>
      </c>
      <c r="C23" s="17">
        <v>41212</v>
      </c>
      <c r="D23" s="18">
        <v>561221</v>
      </c>
      <c r="E23" s="1"/>
      <c r="F23" s="35" t="s">
        <v>15</v>
      </c>
      <c r="G23" s="157">
        <v>8667.75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Z23" s="1"/>
      <c r="AA23" s="1"/>
      <c r="AB23" s="1"/>
      <c r="AC23" s="1"/>
    </row>
    <row r="24" spans="1:29" s="2" customFormat="1">
      <c r="A24"/>
      <c r="B24" s="19" t="s">
        <v>5</v>
      </c>
      <c r="C24" s="17">
        <v>19857</v>
      </c>
      <c r="D24" s="18">
        <v>121112</v>
      </c>
      <c r="E24" s="1"/>
      <c r="F24" s="36" t="s">
        <v>16</v>
      </c>
      <c r="G24" s="157">
        <v>46798.5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Z24" s="1"/>
      <c r="AA24" s="1"/>
      <c r="AB24" s="1"/>
      <c r="AC24" s="1"/>
    </row>
    <row r="25" spans="1:29" s="2" customFormat="1">
      <c r="A25"/>
      <c r="B25" s="19" t="s">
        <v>5</v>
      </c>
      <c r="C25" s="17">
        <v>11741</v>
      </c>
      <c r="D25" s="18">
        <v>554112</v>
      </c>
      <c r="E25" s="1"/>
      <c r="F25" s="36" t="s">
        <v>17</v>
      </c>
      <c r="G25" s="157">
        <v>32487.333333333332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Z25" s="1"/>
      <c r="AA25" s="1"/>
      <c r="AB25" s="1"/>
      <c r="AC25" s="1"/>
    </row>
    <row r="26" spans="1:29" s="2" customFormat="1">
      <c r="A26"/>
      <c r="B26" s="19" t="s">
        <v>5</v>
      </c>
      <c r="C26" s="17">
        <v>22123</v>
      </c>
      <c r="D26" s="18">
        <v>185477</v>
      </c>
      <c r="E26" s="1"/>
      <c r="F26" s="36" t="s">
        <v>18</v>
      </c>
      <c r="G26" s="157">
        <v>46666.25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Z26" s="1"/>
      <c r="AA26" s="1"/>
      <c r="AB26" s="1"/>
      <c r="AC26" s="1"/>
    </row>
    <row r="27" spans="1:29" s="2" customFormat="1" ht="15" thickBot="1">
      <c r="A27"/>
      <c r="B27" s="19" t="s">
        <v>5</v>
      </c>
      <c r="C27" s="17">
        <v>12365</v>
      </c>
      <c r="D27" s="18">
        <v>211456</v>
      </c>
      <c r="E27" s="1"/>
      <c r="F27" s="37" t="s">
        <v>19</v>
      </c>
      <c r="G27" s="158">
        <v>56350.857142857145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Z27" s="1"/>
      <c r="AA27" s="1"/>
      <c r="AB27" s="1"/>
      <c r="AC27" s="1"/>
    </row>
    <row r="28" spans="1:29" s="2" customFormat="1">
      <c r="A28"/>
      <c r="B28" s="19" t="s">
        <v>5</v>
      </c>
      <c r="C28" s="17">
        <v>6442</v>
      </c>
      <c r="D28" s="18">
        <v>121221</v>
      </c>
      <c r="E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Z28" s="1"/>
      <c r="AA28" s="1"/>
      <c r="AB28" s="1"/>
      <c r="AC28" s="1"/>
    </row>
    <row r="29" spans="1:29" s="2" customFormat="1">
      <c r="A29"/>
      <c r="B29" s="19" t="s">
        <v>5</v>
      </c>
      <c r="C29" s="17">
        <v>36985</v>
      </c>
      <c r="D29" s="18">
        <v>653222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Z29" s="1"/>
      <c r="AA29" s="1"/>
      <c r="AB29" s="1"/>
      <c r="AC29" s="1"/>
    </row>
    <row r="30" spans="1:29" s="2" customFormat="1">
      <c r="A30"/>
      <c r="B30" s="19" t="s">
        <v>6</v>
      </c>
      <c r="C30" s="17">
        <v>1256</v>
      </c>
      <c r="D30" s="18">
        <v>363512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Z30" s="1"/>
      <c r="AA30" s="1"/>
      <c r="AB30" s="1"/>
      <c r="AC30" s="1"/>
    </row>
    <row r="31" spans="1:29" s="2" customFormat="1">
      <c r="A31"/>
      <c r="B31" s="19" t="s">
        <v>6</v>
      </c>
      <c r="C31" s="17">
        <v>985</v>
      </c>
      <c r="D31" s="18">
        <v>633221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Z31" s="1"/>
      <c r="AA31" s="1"/>
      <c r="AB31" s="1"/>
      <c r="AC31" s="1"/>
    </row>
    <row r="32" spans="1:29" s="2" customFormat="1">
      <c r="A32"/>
      <c r="B32" s="19" t="s">
        <v>6</v>
      </c>
      <c r="C32" s="17">
        <v>46654.22</v>
      </c>
      <c r="D32" s="18">
        <v>545445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Z32" s="1"/>
      <c r="AA32" s="1"/>
      <c r="AB32" s="1"/>
      <c r="AC32" s="1"/>
    </row>
    <row r="33" spans="1:29" s="2" customFormat="1">
      <c r="A33"/>
      <c r="B33" s="19" t="s">
        <v>6</v>
      </c>
      <c r="C33" s="17">
        <v>47242.16</v>
      </c>
      <c r="D33" s="18">
        <v>144587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Z33" s="1"/>
      <c r="AA33" s="1"/>
      <c r="AB33" s="1"/>
      <c r="AC33" s="1"/>
    </row>
    <row r="34" spans="1:29" s="1" customFormat="1">
      <c r="B34" s="19" t="s">
        <v>6</v>
      </c>
      <c r="C34" s="17">
        <v>47885.47</v>
      </c>
      <c r="D34" s="18">
        <v>152214</v>
      </c>
      <c r="Y34" s="2"/>
    </row>
    <row r="35" spans="1:29" s="1" customFormat="1">
      <c r="B35" s="19" t="s">
        <v>6</v>
      </c>
      <c r="C35" s="17">
        <v>48420.45</v>
      </c>
      <c r="D35" s="18">
        <v>155634</v>
      </c>
      <c r="Y35" s="2"/>
    </row>
    <row r="36" spans="1:29" s="1" customFormat="1">
      <c r="B36" s="19" t="s">
        <v>7</v>
      </c>
      <c r="C36" s="17">
        <v>11232</v>
      </c>
      <c r="D36" s="18">
        <v>212211</v>
      </c>
      <c r="Y36" s="2"/>
    </row>
    <row r="37" spans="1:29" s="1" customFormat="1">
      <c r="B37" s="19" t="s">
        <v>7</v>
      </c>
      <c r="C37" s="17">
        <v>15254</v>
      </c>
      <c r="D37" s="18">
        <v>985589</v>
      </c>
      <c r="Y37" s="2"/>
    </row>
    <row r="38" spans="1:29" s="1" customFormat="1">
      <c r="B38" s="19" t="s">
        <v>7</v>
      </c>
      <c r="C38" s="17">
        <v>89954</v>
      </c>
      <c r="D38" s="18">
        <v>774444</v>
      </c>
      <c r="Y38" s="2"/>
    </row>
    <row r="39" spans="1:29">
      <c r="B39" s="19" t="s">
        <v>7</v>
      </c>
      <c r="C39" s="17">
        <v>78564</v>
      </c>
      <c r="D39" s="18">
        <v>985574</v>
      </c>
    </row>
    <row r="40" spans="1:29">
      <c r="B40" s="19" t="s">
        <v>7</v>
      </c>
      <c r="C40" s="17">
        <v>48963</v>
      </c>
      <c r="D40" s="20">
        <v>896523</v>
      </c>
    </row>
    <row r="41" spans="1:29">
      <c r="B41" s="19" t="s">
        <v>7</v>
      </c>
      <c r="C41" s="17">
        <v>6554</v>
      </c>
      <c r="D41" s="18">
        <v>554121</v>
      </c>
    </row>
    <row r="42" spans="1:29">
      <c r="B42" s="19" t="s">
        <v>7</v>
      </c>
      <c r="C42" s="17">
        <v>2245</v>
      </c>
      <c r="D42" s="18">
        <v>541223</v>
      </c>
    </row>
    <row r="43" spans="1:29">
      <c r="B43" s="19" t="s">
        <v>7</v>
      </c>
      <c r="C43" s="17">
        <v>6552</v>
      </c>
      <c r="D43" s="18">
        <v>411522</v>
      </c>
    </row>
    <row r="44" spans="1:29">
      <c r="B44" s="19" t="s">
        <v>8</v>
      </c>
      <c r="C44" s="17">
        <v>2256</v>
      </c>
      <c r="D44" s="18">
        <v>411223</v>
      </c>
    </row>
    <row r="45" spans="1:29">
      <c r="B45" s="19" t="s">
        <v>8</v>
      </c>
      <c r="C45" s="17">
        <v>9874</v>
      </c>
      <c r="D45" s="18">
        <v>411244</v>
      </c>
    </row>
    <row r="46" spans="1:29">
      <c r="B46" s="19" t="s">
        <v>8</v>
      </c>
      <c r="C46" s="17">
        <v>5555</v>
      </c>
      <c r="D46" s="18">
        <v>221412</v>
      </c>
    </row>
    <row r="47" spans="1:29">
      <c r="B47" s="19" t="s">
        <v>8</v>
      </c>
      <c r="C47" s="17">
        <v>22251</v>
      </c>
      <c r="D47" s="18">
        <v>21555</v>
      </c>
    </row>
    <row r="48" spans="1:29">
      <c r="B48" s="19" t="s">
        <v>8</v>
      </c>
      <c r="C48" s="17">
        <v>19852</v>
      </c>
      <c r="D48" s="18">
        <v>15452</v>
      </c>
    </row>
    <row r="49" spans="2:4">
      <c r="B49" s="19" t="s">
        <v>8</v>
      </c>
      <c r="C49" s="17">
        <v>48963</v>
      </c>
      <c r="D49" s="18">
        <v>256314</v>
      </c>
    </row>
    <row r="50" spans="2:4">
      <c r="B50" s="19" t="s">
        <v>8</v>
      </c>
      <c r="C50" s="17">
        <v>14411</v>
      </c>
      <c r="D50" s="18">
        <v>115474</v>
      </c>
    </row>
    <row r="51" spans="2:4">
      <c r="B51" s="19" t="s">
        <v>9</v>
      </c>
      <c r="C51" s="17">
        <v>142987</v>
      </c>
      <c r="D51" s="18">
        <v>114212</v>
      </c>
    </row>
    <row r="52" spans="2:4">
      <c r="B52" s="19" t="s">
        <v>9</v>
      </c>
      <c r="C52" s="17">
        <v>52698</v>
      </c>
      <c r="D52" s="18">
        <v>256332</v>
      </c>
    </row>
    <row r="53" spans="2:4">
      <c r="B53" s="19" t="s">
        <v>9</v>
      </c>
      <c r="C53" s="17">
        <v>45678</v>
      </c>
      <c r="D53" s="18">
        <v>215211</v>
      </c>
    </row>
    <row r="54" spans="2:4">
      <c r="B54" s="19" t="s">
        <v>9</v>
      </c>
      <c r="C54" s="17">
        <v>12526</v>
      </c>
      <c r="D54" s="18">
        <v>225148</v>
      </c>
    </row>
    <row r="55" spans="2:4">
      <c r="B55" s="19" t="s">
        <v>9</v>
      </c>
      <c r="C55" s="17">
        <v>23456</v>
      </c>
      <c r="D55" s="18">
        <v>256984</v>
      </c>
    </row>
    <row r="56" spans="2:4">
      <c r="B56" s="19" t="s">
        <v>10</v>
      </c>
      <c r="C56" s="17">
        <v>97654</v>
      </c>
      <c r="D56" s="18">
        <v>112154</v>
      </c>
    </row>
    <row r="57" spans="2:4">
      <c r="B57" s="19" t="s">
        <v>10</v>
      </c>
      <c r="C57" s="17">
        <v>56789</v>
      </c>
      <c r="D57" s="18">
        <v>248963</v>
      </c>
    </row>
    <row r="58" spans="2:4">
      <c r="B58" s="19" t="s">
        <v>10</v>
      </c>
      <c r="C58" s="17">
        <v>36987</v>
      </c>
      <c r="D58" s="18">
        <v>256489</v>
      </c>
    </row>
    <row r="59" spans="2:4">
      <c r="B59" s="19" t="s">
        <v>10</v>
      </c>
      <c r="C59" s="17">
        <v>123456</v>
      </c>
      <c r="D59" s="18">
        <v>122536</v>
      </c>
    </row>
    <row r="60" spans="2:4">
      <c r="B60" s="19" t="s">
        <v>10</v>
      </c>
      <c r="C60" s="17">
        <v>25859</v>
      </c>
      <c r="D60" s="18">
        <v>568854</v>
      </c>
    </row>
    <row r="61" spans="2:4">
      <c r="B61" s="19" t="s">
        <v>10</v>
      </c>
      <c r="C61" s="17">
        <v>17896</v>
      </c>
      <c r="D61" s="18">
        <v>556352</v>
      </c>
    </row>
    <row r="62" spans="2:4">
      <c r="B62" s="19" t="s">
        <v>10</v>
      </c>
      <c r="C62" s="17">
        <v>49076</v>
      </c>
      <c r="D62" s="18">
        <v>552854</v>
      </c>
    </row>
    <row r="63" spans="2:4">
      <c r="B63" s="19" t="s">
        <v>10</v>
      </c>
      <c r="C63" s="17">
        <v>28965</v>
      </c>
      <c r="D63" s="18">
        <v>122525</v>
      </c>
    </row>
    <row r="64" spans="2:4">
      <c r="B64" s="19" t="s">
        <v>10</v>
      </c>
      <c r="C64" s="17">
        <v>36985</v>
      </c>
      <c r="D64" s="18">
        <v>241221</v>
      </c>
    </row>
    <row r="65" spans="2:4">
      <c r="B65" s="19" t="s">
        <v>11</v>
      </c>
      <c r="C65" s="17">
        <v>45632</v>
      </c>
      <c r="D65" s="18">
        <v>656254</v>
      </c>
    </row>
    <row r="66" spans="2:4">
      <c r="B66" s="19" t="s">
        <v>11</v>
      </c>
      <c r="C66" s="17">
        <v>24896</v>
      </c>
      <c r="D66" s="18">
        <v>654101</v>
      </c>
    </row>
    <row r="67" spans="2:4">
      <c r="B67" s="19" t="s">
        <v>11</v>
      </c>
      <c r="C67" s="17">
        <v>17596</v>
      </c>
      <c r="D67" s="18">
        <v>556652</v>
      </c>
    </row>
    <row r="68" spans="2:4">
      <c r="B68" s="19" t="s">
        <v>11</v>
      </c>
      <c r="C68" s="17">
        <v>5698</v>
      </c>
      <c r="D68" s="18">
        <v>454541</v>
      </c>
    </row>
    <row r="69" spans="2:4">
      <c r="B69" s="19" t="s">
        <v>11</v>
      </c>
      <c r="C69" s="17">
        <v>9865</v>
      </c>
      <c r="D69" s="18">
        <v>322221</v>
      </c>
    </row>
    <row r="70" spans="2:4">
      <c r="B70" s="19" t="s">
        <v>11</v>
      </c>
      <c r="C70" s="17">
        <v>12365</v>
      </c>
      <c r="D70" s="18">
        <v>256544</v>
      </c>
    </row>
    <row r="71" spans="2:4">
      <c r="B71" s="19" t="s">
        <v>11</v>
      </c>
      <c r="C71" s="17">
        <v>12124</v>
      </c>
      <c r="D71" s="18">
        <v>561121</v>
      </c>
    </row>
    <row r="72" spans="2:4">
      <c r="B72" s="19" t="s">
        <v>11</v>
      </c>
      <c r="C72" s="17">
        <v>18965</v>
      </c>
      <c r="D72" s="18">
        <v>574544</v>
      </c>
    </row>
    <row r="73" spans="2:4">
      <c r="B73" s="19" t="s">
        <v>11</v>
      </c>
      <c r="C73" s="17">
        <v>21145</v>
      </c>
      <c r="D73" s="18">
        <v>157445</v>
      </c>
    </row>
    <row r="74" spans="2:4">
      <c r="B74" s="19" t="s">
        <v>12</v>
      </c>
      <c r="C74" s="17">
        <v>14545</v>
      </c>
      <c r="D74" s="18">
        <v>111522</v>
      </c>
    </row>
    <row r="75" spans="2:4">
      <c r="B75" s="19" t="s">
        <v>12</v>
      </c>
      <c r="C75" s="17">
        <v>12566</v>
      </c>
      <c r="D75" s="18">
        <v>112235</v>
      </c>
    </row>
    <row r="76" spans="2:4">
      <c r="B76" s="19" t="s">
        <v>12</v>
      </c>
      <c r="C76" s="17">
        <v>17854</v>
      </c>
      <c r="D76" s="18">
        <v>211142</v>
      </c>
    </row>
    <row r="77" spans="2:4">
      <c r="B77" s="19" t="s">
        <v>12</v>
      </c>
      <c r="C77" s="17">
        <v>19325</v>
      </c>
      <c r="D77" s="18">
        <v>211331</v>
      </c>
    </row>
    <row r="78" spans="2:4">
      <c r="B78" s="19" t="s">
        <v>12</v>
      </c>
      <c r="C78" s="17">
        <v>16544</v>
      </c>
      <c r="D78" s="18">
        <v>654122</v>
      </c>
    </row>
    <row r="79" spans="2:4">
      <c r="B79" s="19" t="s">
        <v>12</v>
      </c>
      <c r="C79" s="17">
        <v>25632</v>
      </c>
      <c r="D79" s="18">
        <v>565213</v>
      </c>
    </row>
    <row r="80" spans="2:4">
      <c r="B80" s="19" t="s">
        <v>13</v>
      </c>
      <c r="C80" s="17">
        <v>14567</v>
      </c>
      <c r="D80" s="18">
        <v>263589</v>
      </c>
    </row>
    <row r="81" spans="2:4">
      <c r="B81" s="19" t="s">
        <v>13</v>
      </c>
      <c r="C81" s="17">
        <v>38763</v>
      </c>
      <c r="D81" s="18">
        <v>126655</v>
      </c>
    </row>
    <row r="82" spans="2:4">
      <c r="B82" s="19" t="s">
        <v>13</v>
      </c>
      <c r="C82" s="17">
        <v>14552</v>
      </c>
      <c r="D82" s="20">
        <v>122636</v>
      </c>
    </row>
    <row r="83" spans="2:4">
      <c r="B83" s="19" t="s">
        <v>13</v>
      </c>
      <c r="C83" s="17">
        <v>34567</v>
      </c>
      <c r="D83" s="20">
        <v>156636</v>
      </c>
    </row>
    <row r="84" spans="2:4">
      <c r="B84" s="19" t="s">
        <v>13</v>
      </c>
      <c r="C84" s="17">
        <v>76889</v>
      </c>
      <c r="D84" s="18">
        <v>141252</v>
      </c>
    </row>
    <row r="85" spans="2:4">
      <c r="B85" s="19" t="s">
        <v>13</v>
      </c>
      <c r="C85" s="17">
        <v>34324</v>
      </c>
      <c r="D85" s="18">
        <v>225412</v>
      </c>
    </row>
    <row r="86" spans="2:4">
      <c r="B86" s="19" t="s">
        <v>13</v>
      </c>
      <c r="C86" s="17">
        <v>19976</v>
      </c>
      <c r="D86" s="18">
        <v>365212</v>
      </c>
    </row>
    <row r="87" spans="2:4">
      <c r="B87" s="19" t="s">
        <v>14</v>
      </c>
      <c r="C87" s="17">
        <v>115567</v>
      </c>
      <c r="D87" s="18">
        <v>114522</v>
      </c>
    </row>
    <row r="88" spans="2:4">
      <c r="B88" s="19" t="s">
        <v>14</v>
      </c>
      <c r="C88" s="17">
        <v>98756</v>
      </c>
      <c r="D88" s="18">
        <v>655654</v>
      </c>
    </row>
    <row r="89" spans="2:4">
      <c r="B89" s="19" t="s">
        <v>14</v>
      </c>
      <c r="C89" s="17">
        <v>56789</v>
      </c>
      <c r="D89" s="18">
        <v>112554</v>
      </c>
    </row>
    <row r="90" spans="2:4">
      <c r="B90" s="19" t="s">
        <v>14</v>
      </c>
      <c r="C90" s="17">
        <v>65456</v>
      </c>
      <c r="D90" s="18">
        <v>663541</v>
      </c>
    </row>
    <row r="91" spans="2:4">
      <c r="B91" s="19" t="s">
        <v>14</v>
      </c>
      <c r="C91" s="17">
        <v>36789</v>
      </c>
      <c r="D91" s="18">
        <v>211122</v>
      </c>
    </row>
    <row r="92" spans="2:4">
      <c r="B92" s="19" t="s">
        <v>14</v>
      </c>
      <c r="C92" s="17">
        <v>65467</v>
      </c>
      <c r="D92" s="18">
        <v>226541</v>
      </c>
    </row>
    <row r="93" spans="2:4">
      <c r="B93" s="19" t="s">
        <v>14</v>
      </c>
      <c r="C93" s="17">
        <v>23456</v>
      </c>
      <c r="D93" s="18">
        <v>541141</v>
      </c>
    </row>
    <row r="94" spans="2:4">
      <c r="B94" s="19" t="s">
        <v>14</v>
      </c>
      <c r="C94" s="17">
        <v>54322</v>
      </c>
      <c r="D94" s="18">
        <v>522151</v>
      </c>
    </row>
    <row r="95" spans="2:4">
      <c r="B95" s="19" t="s">
        <v>15</v>
      </c>
      <c r="C95" s="17">
        <v>14585</v>
      </c>
      <c r="D95" s="20">
        <v>511152</v>
      </c>
    </row>
    <row r="96" spans="2:4">
      <c r="B96" s="19" t="s">
        <v>15</v>
      </c>
      <c r="C96" s="17">
        <v>9876</v>
      </c>
      <c r="D96" s="20">
        <v>656252</v>
      </c>
    </row>
    <row r="97" spans="2:28">
      <c r="B97" s="19" t="s">
        <v>15</v>
      </c>
      <c r="C97" s="17">
        <v>6754</v>
      </c>
      <c r="D97" s="20">
        <v>422112</v>
      </c>
    </row>
    <row r="98" spans="2:28">
      <c r="B98" s="19" t="s">
        <v>15</v>
      </c>
      <c r="C98" s="17">
        <v>3456</v>
      </c>
      <c r="D98" s="18">
        <v>212221</v>
      </c>
    </row>
    <row r="99" spans="2:28">
      <c r="B99" s="19" t="s">
        <v>16</v>
      </c>
      <c r="C99" s="17">
        <v>45678</v>
      </c>
      <c r="D99" s="18">
        <v>332211</v>
      </c>
    </row>
    <row r="100" spans="2:28">
      <c r="B100" s="19" t="s">
        <v>16</v>
      </c>
      <c r="C100" s="17">
        <v>32456</v>
      </c>
      <c r="D100" s="18">
        <v>445643</v>
      </c>
      <c r="Z100" s="31" t="s">
        <v>23</v>
      </c>
      <c r="AA100"/>
      <c r="AB100"/>
    </row>
    <row r="101" spans="2:28">
      <c r="B101" s="19" t="s">
        <v>16</v>
      </c>
      <c r="C101" s="17">
        <v>12347</v>
      </c>
      <c r="D101" s="18">
        <v>754455</v>
      </c>
      <c r="Z101" s="31" t="s">
        <v>22</v>
      </c>
      <c r="AA101"/>
      <c r="AB101"/>
    </row>
    <row r="102" spans="2:28">
      <c r="B102" s="19" t="s">
        <v>16</v>
      </c>
      <c r="C102" s="17">
        <v>97900</v>
      </c>
      <c r="D102" s="18">
        <v>654766</v>
      </c>
    </row>
    <row r="103" spans="2:28">
      <c r="B103" s="19" t="s">
        <v>16</v>
      </c>
      <c r="C103" s="17">
        <v>13456</v>
      </c>
      <c r="D103" s="18">
        <v>768543</v>
      </c>
    </row>
    <row r="104" spans="2:28">
      <c r="B104" s="19" t="s">
        <v>16</v>
      </c>
      <c r="C104" s="17">
        <v>78954</v>
      </c>
      <c r="D104" s="18">
        <v>343456</v>
      </c>
    </row>
    <row r="105" spans="2:28">
      <c r="B105" s="19" t="s">
        <v>17</v>
      </c>
      <c r="C105" s="17">
        <v>16789</v>
      </c>
      <c r="D105" s="18">
        <v>552111</v>
      </c>
    </row>
    <row r="106" spans="2:28">
      <c r="B106" s="19" t="s">
        <v>17</v>
      </c>
      <c r="C106" s="17">
        <v>56789</v>
      </c>
      <c r="D106" s="18">
        <v>256332</v>
      </c>
    </row>
    <row r="107" spans="2:28">
      <c r="B107" s="19" t="s">
        <v>17</v>
      </c>
      <c r="C107" s="17">
        <v>23456</v>
      </c>
      <c r="D107" s="18">
        <v>554232</v>
      </c>
    </row>
    <row r="108" spans="2:28">
      <c r="B108" s="19" t="s">
        <v>17</v>
      </c>
      <c r="C108" s="17">
        <v>65432</v>
      </c>
      <c r="D108" s="18">
        <v>455524</v>
      </c>
    </row>
    <row r="109" spans="2:28">
      <c r="B109" s="19" t="s">
        <v>17</v>
      </c>
      <c r="C109" s="17">
        <v>21234</v>
      </c>
      <c r="D109" s="18">
        <v>556321</v>
      </c>
    </row>
    <row r="110" spans="2:28">
      <c r="B110" s="19" t="s">
        <v>17</v>
      </c>
      <c r="C110" s="17">
        <v>11224</v>
      </c>
      <c r="D110" s="18">
        <v>541255</v>
      </c>
    </row>
    <row r="111" spans="2:28">
      <c r="B111" s="19" t="s">
        <v>18</v>
      </c>
      <c r="C111" s="17">
        <v>17525</v>
      </c>
      <c r="D111" s="18">
        <v>526321</v>
      </c>
    </row>
    <row r="112" spans="2:28">
      <c r="B112" s="19" t="s">
        <v>18</v>
      </c>
      <c r="C112" s="17">
        <v>25983</v>
      </c>
      <c r="D112" s="18">
        <v>565121</v>
      </c>
    </row>
    <row r="113" spans="2:4">
      <c r="B113" s="19" t="s">
        <v>18</v>
      </c>
      <c r="C113" s="17">
        <v>56662</v>
      </c>
      <c r="D113" s="18">
        <v>231566</v>
      </c>
    </row>
    <row r="114" spans="2:4">
      <c r="B114" s="19" t="s">
        <v>18</v>
      </c>
      <c r="C114" s="17">
        <v>66523</v>
      </c>
      <c r="D114" s="18">
        <v>366544</v>
      </c>
    </row>
    <row r="115" spans="2:4">
      <c r="B115" s="19" t="s">
        <v>18</v>
      </c>
      <c r="C115" s="17">
        <v>89652</v>
      </c>
      <c r="D115" s="18">
        <v>662354</v>
      </c>
    </row>
    <row r="116" spans="2:4">
      <c r="B116" s="19" t="s">
        <v>18</v>
      </c>
      <c r="C116" s="17">
        <v>23365</v>
      </c>
      <c r="D116" s="18">
        <v>665522</v>
      </c>
    </row>
    <row r="117" spans="2:4">
      <c r="B117" s="19" t="s">
        <v>18</v>
      </c>
      <c r="C117" s="17">
        <v>36985</v>
      </c>
      <c r="D117" s="20">
        <v>668523</v>
      </c>
    </row>
    <row r="118" spans="2:4">
      <c r="B118" s="19" t="s">
        <v>18</v>
      </c>
      <c r="C118" s="17">
        <v>56635</v>
      </c>
      <c r="D118" s="18">
        <v>555441</v>
      </c>
    </row>
    <row r="119" spans="2:4">
      <c r="B119" s="19" t="s">
        <v>19</v>
      </c>
      <c r="C119" s="17">
        <v>113456</v>
      </c>
      <c r="D119" s="18">
        <v>122000</v>
      </c>
    </row>
    <row r="120" spans="2:4">
      <c r="B120" s="19" t="s">
        <v>19</v>
      </c>
      <c r="C120" s="17">
        <v>97654</v>
      </c>
      <c r="D120" s="18">
        <v>454545</v>
      </c>
    </row>
    <row r="121" spans="2:4">
      <c r="B121" s="19" t="s">
        <v>19</v>
      </c>
      <c r="C121" s="17">
        <v>22234</v>
      </c>
      <c r="D121" s="18">
        <v>565544</v>
      </c>
    </row>
    <row r="122" spans="2:4">
      <c r="B122" s="19" t="s">
        <v>19</v>
      </c>
      <c r="C122" s="17">
        <v>33456</v>
      </c>
      <c r="D122" s="18">
        <v>556441</v>
      </c>
    </row>
    <row r="123" spans="2:4">
      <c r="B123" s="19" t="s">
        <v>19</v>
      </c>
      <c r="C123" s="17">
        <v>35872</v>
      </c>
      <c r="D123" s="18">
        <v>556544</v>
      </c>
    </row>
    <row r="124" spans="2:4">
      <c r="B124" s="19" t="s">
        <v>19</v>
      </c>
      <c r="C124" s="17">
        <v>25893</v>
      </c>
      <c r="D124" s="18">
        <v>122533</v>
      </c>
    </row>
    <row r="125" spans="2:4" ht="15" thickBot="1">
      <c r="B125" s="21" t="s">
        <v>19</v>
      </c>
      <c r="C125" s="22">
        <v>65891</v>
      </c>
      <c r="D125" s="23">
        <v>125221</v>
      </c>
    </row>
  </sheetData>
  <dataConsolidate function="average">
    <dataRefs count="1">
      <dataRef ref="B11:C125" sheet="CONSOLIDAR"/>
    </dataRefs>
  </dataConsolidate>
  <mergeCells count="3">
    <mergeCell ref="B8:D8"/>
    <mergeCell ref="F8:H8"/>
    <mergeCell ref="F9:G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3:AC125"/>
  <sheetViews>
    <sheetView showGridLines="0" topLeftCell="D1" zoomScaleNormal="100" workbookViewId="0">
      <selection activeCell="J4" sqref="J4"/>
    </sheetView>
  </sheetViews>
  <sheetFormatPr defaultRowHeight="14.5"/>
  <cols>
    <col min="1" max="1" width="5.54296875" customWidth="1"/>
    <col min="2" max="2" width="38.81640625" customWidth="1"/>
    <col min="3" max="3" width="15.1796875" customWidth="1"/>
    <col min="4" max="4" width="15.54296875" customWidth="1"/>
    <col min="5" max="5" width="16.1796875" customWidth="1"/>
    <col min="6" max="6" width="17.54296875" customWidth="1"/>
    <col min="7" max="8" width="0.26953125" customWidth="1"/>
    <col min="9" max="9" width="27.81640625" bestFit="1" customWidth="1"/>
    <col min="10" max="10" width="14.54296875" bestFit="1" customWidth="1"/>
    <col min="11" max="11" width="16.453125" bestFit="1" customWidth="1"/>
    <col min="12" max="12" width="13.81640625" bestFit="1" customWidth="1"/>
    <col min="15" max="15" width="11.81640625" customWidth="1"/>
    <col min="25" max="25" width="9.1796875" style="2"/>
    <col min="26" max="28" width="9.1796875" style="1"/>
    <col min="29" max="29" width="10.26953125" style="1" customWidth="1"/>
  </cols>
  <sheetData>
    <row r="3" spans="1:29" s="2" customFormat="1" ht="15" customHeight="1">
      <c r="A3"/>
      <c r="B3"/>
      <c r="C3" s="4"/>
      <c r="D3" s="4"/>
      <c r="E3" s="4"/>
      <c r="F3" s="25"/>
      <c r="G3" s="25"/>
      <c r="H3" s="25"/>
      <c r="I3" s="25"/>
      <c r="J3" s="25"/>
      <c r="K3" s="25"/>
      <c r="L3" s="25"/>
      <c r="M3" s="25"/>
      <c r="N3" s="25"/>
      <c r="O3" s="25"/>
      <c r="P3" s="6"/>
      <c r="Q3" s="6"/>
      <c r="R3" s="6"/>
      <c r="S3" s="5"/>
      <c r="T3" s="5"/>
      <c r="U3" s="5"/>
      <c r="V3" s="5"/>
      <c r="W3" s="5"/>
      <c r="X3"/>
      <c r="Z3" s="1"/>
      <c r="AA3" s="1"/>
      <c r="AB3" s="1"/>
      <c r="AC3" s="1"/>
    </row>
    <row r="4" spans="1:29" s="2" customFormat="1" ht="15" customHeight="1">
      <c r="A4"/>
      <c r="B4"/>
      <c r="C4" s="4"/>
      <c r="D4" s="4"/>
      <c r="E4" s="4"/>
      <c r="F4" s="26"/>
      <c r="G4" s="26"/>
      <c r="H4" s="26"/>
      <c r="I4" s="26"/>
      <c r="J4" s="26"/>
      <c r="K4" s="27"/>
      <c r="L4" s="27"/>
      <c r="M4" s="25"/>
      <c r="N4" s="28"/>
      <c r="O4" s="28"/>
      <c r="P4" s="24"/>
      <c r="Q4" s="24"/>
      <c r="R4" s="24"/>
      <c r="S4" s="5"/>
      <c r="T4" s="5"/>
      <c r="U4" s="5"/>
      <c r="V4" s="5"/>
      <c r="W4" s="5"/>
      <c r="X4"/>
      <c r="Z4" s="1"/>
      <c r="AA4" s="1"/>
      <c r="AB4" s="1"/>
      <c r="AC4" s="1"/>
    </row>
    <row r="5" spans="1:29" s="2" customFormat="1" ht="15" customHeight="1">
      <c r="A5"/>
      <c r="B5"/>
      <c r="C5" s="4"/>
      <c r="D5" s="4"/>
      <c r="E5" s="4"/>
      <c r="F5" s="26"/>
      <c r="G5" s="26"/>
      <c r="H5" s="26"/>
      <c r="I5" s="26"/>
      <c r="J5" s="26"/>
      <c r="K5" s="27"/>
      <c r="L5" s="27"/>
      <c r="M5" s="25"/>
      <c r="N5" s="28"/>
      <c r="O5" s="29"/>
      <c r="P5" s="24"/>
      <c r="Q5" s="24"/>
      <c r="R5" s="24"/>
      <c r="S5" s="5"/>
      <c r="T5" s="5"/>
      <c r="U5" s="5"/>
      <c r="V5" s="5"/>
      <c r="W5" s="5"/>
      <c r="X5"/>
      <c r="Z5" s="1"/>
      <c r="AA5" s="1"/>
      <c r="AB5" s="1"/>
      <c r="AC5" s="1"/>
    </row>
    <row r="6" spans="1:29">
      <c r="F6" s="30"/>
      <c r="G6" s="30"/>
      <c r="H6" s="30"/>
      <c r="I6" s="30"/>
      <c r="J6" s="30"/>
      <c r="K6" s="30"/>
      <c r="L6" s="30"/>
      <c r="M6" s="30"/>
      <c r="N6" s="30"/>
      <c r="O6" s="30"/>
    </row>
    <row r="7" spans="1:29" ht="15" thickBot="1"/>
    <row r="8" spans="1:29" ht="20.5" thickBot="1">
      <c r="B8" s="240" t="s">
        <v>49</v>
      </c>
      <c r="C8" s="241"/>
      <c r="D8" s="241"/>
      <c r="E8" s="241"/>
      <c r="F8" s="241"/>
      <c r="G8" s="241"/>
      <c r="H8" s="242"/>
      <c r="I8" s="159" t="s">
        <v>26</v>
      </c>
      <c r="J8" t="s">
        <v>149</v>
      </c>
    </row>
    <row r="9" spans="1:29" ht="12.75" customHeight="1" thickBot="1">
      <c r="C9" s="11"/>
      <c r="F9" s="243"/>
      <c r="G9" s="243"/>
      <c r="H9" s="7"/>
    </row>
    <row r="10" spans="1:29" ht="15" thickBot="1">
      <c r="B10" s="61" t="s">
        <v>25</v>
      </c>
      <c r="C10" s="62" t="s">
        <v>26</v>
      </c>
      <c r="D10" s="63" t="s">
        <v>27</v>
      </c>
      <c r="E10" s="63" t="s">
        <v>28</v>
      </c>
      <c r="F10" s="64" t="s">
        <v>29</v>
      </c>
      <c r="G10" s="38"/>
      <c r="H10" s="7"/>
      <c r="J10" s="159" t="s">
        <v>1</v>
      </c>
    </row>
    <row r="11" spans="1:29">
      <c r="B11" s="56" t="s">
        <v>30</v>
      </c>
      <c r="C11" s="57" t="s">
        <v>31</v>
      </c>
      <c r="D11" s="58">
        <v>456</v>
      </c>
      <c r="E11" s="59">
        <v>5534</v>
      </c>
      <c r="F11" s="60">
        <v>23432</v>
      </c>
      <c r="G11" s="43"/>
      <c r="H11" s="7"/>
      <c r="I11" s="159" t="s">
        <v>25</v>
      </c>
      <c r="J11" t="s">
        <v>150</v>
      </c>
      <c r="K11" t="s">
        <v>151</v>
      </c>
      <c r="L11" t="s">
        <v>152</v>
      </c>
    </row>
    <row r="12" spans="1:29" s="2" customFormat="1">
      <c r="A12"/>
      <c r="B12" s="45" t="s">
        <v>32</v>
      </c>
      <c r="C12" s="46" t="s">
        <v>31</v>
      </c>
      <c r="D12" s="47">
        <v>333</v>
      </c>
      <c r="E12" s="48">
        <v>223</v>
      </c>
      <c r="F12" s="49">
        <v>432</v>
      </c>
      <c r="G12" s="43"/>
      <c r="H12" s="7"/>
      <c r="I12" t="s">
        <v>43</v>
      </c>
      <c r="J12" s="160">
        <v>2456</v>
      </c>
      <c r="K12" s="160">
        <v>5</v>
      </c>
      <c r="L12" s="160">
        <v>667</v>
      </c>
      <c r="M12"/>
      <c r="N12"/>
      <c r="O12"/>
      <c r="P12"/>
      <c r="Q12"/>
      <c r="R12"/>
      <c r="S12"/>
      <c r="T12"/>
      <c r="U12"/>
      <c r="V12"/>
      <c r="W12" s="1"/>
      <c r="X12" s="1"/>
      <c r="Z12" s="1"/>
      <c r="AA12" s="1"/>
      <c r="AB12" s="1"/>
      <c r="AC12" s="1"/>
    </row>
    <row r="13" spans="1:29" s="2" customFormat="1">
      <c r="A13"/>
      <c r="B13" s="45" t="s">
        <v>33</v>
      </c>
      <c r="C13" s="46" t="s">
        <v>31</v>
      </c>
      <c r="D13" s="47">
        <v>3235</v>
      </c>
      <c r="E13" s="48">
        <v>2</v>
      </c>
      <c r="F13" s="49">
        <v>32</v>
      </c>
      <c r="G13" s="43"/>
      <c r="H13" s="7"/>
      <c r="I13" t="s">
        <v>32</v>
      </c>
      <c r="J13" s="160">
        <v>333</v>
      </c>
      <c r="K13" s="160">
        <v>223</v>
      </c>
      <c r="L13" s="160">
        <v>432</v>
      </c>
      <c r="M13"/>
      <c r="N13"/>
      <c r="O13"/>
      <c r="P13"/>
      <c r="Q13"/>
      <c r="R13"/>
      <c r="S13"/>
      <c r="T13"/>
      <c r="U13"/>
      <c r="V13"/>
      <c r="W13" s="1"/>
      <c r="X13" s="1"/>
      <c r="Z13" s="1"/>
      <c r="AA13" s="1"/>
      <c r="AB13" s="1"/>
      <c r="AC13" s="1"/>
    </row>
    <row r="14" spans="1:29" s="2" customFormat="1">
      <c r="A14"/>
      <c r="B14" s="45" t="s">
        <v>34</v>
      </c>
      <c r="C14" s="46" t="s">
        <v>31</v>
      </c>
      <c r="D14" s="47">
        <v>3456</v>
      </c>
      <c r="E14" s="48">
        <v>121</v>
      </c>
      <c r="F14" s="49">
        <v>32</v>
      </c>
      <c r="G14" s="43"/>
      <c r="H14" s="7"/>
      <c r="I14" t="s">
        <v>44</v>
      </c>
      <c r="J14" s="160">
        <v>322</v>
      </c>
      <c r="K14" s="160">
        <v>6</v>
      </c>
      <c r="L14" s="160">
        <v>4346</v>
      </c>
      <c r="M14"/>
      <c r="N14"/>
      <c r="O14"/>
      <c r="P14"/>
      <c r="Q14"/>
      <c r="R14"/>
      <c r="S14"/>
      <c r="T14"/>
      <c r="U14"/>
      <c r="V14"/>
      <c r="W14" s="1"/>
      <c r="X14" s="1"/>
      <c r="Z14" s="1"/>
      <c r="AA14" s="1"/>
      <c r="AB14" s="1"/>
      <c r="AC14" s="1"/>
    </row>
    <row r="15" spans="1:29" s="2" customFormat="1">
      <c r="A15"/>
      <c r="B15" s="50" t="s">
        <v>35</v>
      </c>
      <c r="C15" s="46" t="s">
        <v>36</v>
      </c>
      <c r="D15" s="47">
        <v>1234</v>
      </c>
      <c r="E15" s="48">
        <v>5</v>
      </c>
      <c r="F15" s="49">
        <v>32</v>
      </c>
      <c r="G15" s="43"/>
      <c r="H15" s="7"/>
      <c r="I15" t="s">
        <v>34</v>
      </c>
      <c r="J15" s="160">
        <v>3456</v>
      </c>
      <c r="K15" s="160">
        <v>121</v>
      </c>
      <c r="L15" s="160">
        <v>32</v>
      </c>
      <c r="M15"/>
      <c r="N15"/>
      <c r="O15"/>
      <c r="P15"/>
      <c r="Q15"/>
      <c r="R15"/>
      <c r="S15"/>
      <c r="T15"/>
      <c r="U15"/>
      <c r="V15"/>
      <c r="W15" s="1"/>
      <c r="X15" s="1"/>
      <c r="Z15" s="1"/>
      <c r="AA15" s="1"/>
      <c r="AB15" s="1"/>
      <c r="AC15" s="1"/>
    </row>
    <row r="16" spans="1:29" s="2" customFormat="1">
      <c r="A16"/>
      <c r="B16" s="45" t="s">
        <v>37</v>
      </c>
      <c r="C16" s="46" t="s">
        <v>36</v>
      </c>
      <c r="D16" s="47">
        <v>9876</v>
      </c>
      <c r="E16" s="48">
        <v>656</v>
      </c>
      <c r="F16" s="49">
        <v>32</v>
      </c>
      <c r="G16" s="43"/>
      <c r="H16" s="7"/>
      <c r="I16" t="s">
        <v>30</v>
      </c>
      <c r="J16" s="160">
        <v>456</v>
      </c>
      <c r="K16" s="160">
        <v>5534</v>
      </c>
      <c r="L16" s="160">
        <v>23432</v>
      </c>
      <c r="M16"/>
      <c r="N16"/>
      <c r="O16"/>
      <c r="P16"/>
      <c r="Q16"/>
      <c r="R16"/>
      <c r="S16"/>
      <c r="T16"/>
      <c r="U16"/>
      <c r="V16"/>
      <c r="W16" s="1"/>
      <c r="X16" s="1"/>
      <c r="Z16" s="1"/>
      <c r="AA16" s="1"/>
      <c r="AB16" s="1"/>
      <c r="AC16" s="1"/>
    </row>
    <row r="17" spans="1:29" s="2" customFormat="1">
      <c r="A17"/>
      <c r="B17" s="45" t="s">
        <v>38</v>
      </c>
      <c r="C17" s="46" t="s">
        <v>31</v>
      </c>
      <c r="D17" s="47">
        <v>4656</v>
      </c>
      <c r="E17" s="48">
        <v>4</v>
      </c>
      <c r="F17" s="49">
        <v>1234</v>
      </c>
      <c r="G17" s="43"/>
      <c r="H17" s="7"/>
      <c r="I17" t="s">
        <v>33</v>
      </c>
      <c r="J17" s="160">
        <v>3235</v>
      </c>
      <c r="K17" s="160">
        <v>2</v>
      </c>
      <c r="L17" s="160">
        <v>32</v>
      </c>
      <c r="M17"/>
      <c r="N17"/>
      <c r="O17"/>
      <c r="P17" s="1"/>
      <c r="Q17" s="1"/>
      <c r="R17" s="1"/>
      <c r="S17" s="1"/>
      <c r="T17" s="1"/>
      <c r="U17" s="1"/>
      <c r="V17" s="1"/>
      <c r="W17" s="1"/>
      <c r="X17" s="1"/>
      <c r="Z17" s="1"/>
      <c r="AA17" s="1"/>
      <c r="AB17" s="1"/>
      <c r="AC17" s="1"/>
    </row>
    <row r="18" spans="1:29" s="2" customFormat="1">
      <c r="A18"/>
      <c r="B18" s="45" t="s">
        <v>39</v>
      </c>
      <c r="C18" s="46" t="s">
        <v>31</v>
      </c>
      <c r="D18" s="47">
        <v>4332</v>
      </c>
      <c r="E18" s="48">
        <v>5</v>
      </c>
      <c r="F18" s="49">
        <v>453</v>
      </c>
      <c r="G18" s="43"/>
      <c r="H18" s="7"/>
      <c r="I18" t="s">
        <v>39</v>
      </c>
      <c r="J18" s="160">
        <v>4332</v>
      </c>
      <c r="K18" s="160">
        <v>5</v>
      </c>
      <c r="L18" s="160">
        <v>453</v>
      </c>
      <c r="M18"/>
      <c r="N18"/>
      <c r="O18"/>
      <c r="P18" s="1"/>
      <c r="Q18" s="1"/>
      <c r="R18" s="1"/>
      <c r="S18" s="1"/>
      <c r="T18" s="1"/>
      <c r="U18" s="1"/>
      <c r="V18" s="1"/>
      <c r="W18" s="1"/>
      <c r="X18" s="1"/>
      <c r="Z18" s="1"/>
      <c r="AA18" s="1"/>
      <c r="AB18" s="1"/>
      <c r="AC18" s="1"/>
    </row>
    <row r="19" spans="1:29" s="2" customFormat="1">
      <c r="A19"/>
      <c r="B19" s="45" t="s">
        <v>40</v>
      </c>
      <c r="C19" s="46" t="s">
        <v>31</v>
      </c>
      <c r="D19" s="47">
        <v>455</v>
      </c>
      <c r="E19" s="48">
        <v>4</v>
      </c>
      <c r="F19" s="49">
        <v>24</v>
      </c>
      <c r="G19" s="43"/>
      <c r="H19" s="7"/>
      <c r="I19" t="s">
        <v>38</v>
      </c>
      <c r="J19" s="160">
        <v>4656</v>
      </c>
      <c r="K19" s="160">
        <v>4</v>
      </c>
      <c r="L19" s="160">
        <v>1234</v>
      </c>
      <c r="M19"/>
      <c r="N19"/>
      <c r="O19"/>
      <c r="P19" s="1"/>
      <c r="Q19" s="1"/>
      <c r="R19" s="1"/>
      <c r="S19" s="1"/>
      <c r="T19" s="1"/>
      <c r="U19" s="1"/>
      <c r="V19" s="1"/>
      <c r="W19" s="1"/>
      <c r="X19" s="1"/>
      <c r="Z19" s="1"/>
      <c r="AA19" s="1"/>
      <c r="AB19" s="1"/>
      <c r="AC19" s="1"/>
    </row>
    <row r="20" spans="1:29" s="2" customFormat="1">
      <c r="A20"/>
      <c r="B20" s="45" t="s">
        <v>41</v>
      </c>
      <c r="C20" s="46" t="s">
        <v>31</v>
      </c>
      <c r="D20" s="47">
        <v>21</v>
      </c>
      <c r="E20" s="48">
        <v>54</v>
      </c>
      <c r="F20" s="49">
        <v>543</v>
      </c>
      <c r="G20" s="43"/>
      <c r="H20" s="7"/>
      <c r="I20" t="s">
        <v>42</v>
      </c>
      <c r="J20" s="160">
        <v>234</v>
      </c>
      <c r="K20" s="160">
        <v>5</v>
      </c>
      <c r="L20" s="160">
        <v>543</v>
      </c>
      <c r="M20"/>
      <c r="N20"/>
      <c r="O20"/>
      <c r="P20" s="1"/>
      <c r="Q20" s="1"/>
      <c r="R20" s="1"/>
      <c r="S20" s="1"/>
      <c r="T20" s="1"/>
      <c r="U20" s="1"/>
      <c r="V20" s="1"/>
      <c r="W20" s="1"/>
      <c r="X20" s="1"/>
      <c r="Z20" s="1"/>
      <c r="AA20" s="1"/>
      <c r="AB20" s="1"/>
      <c r="AC20" s="1"/>
    </row>
    <row r="21" spans="1:29" s="2" customFormat="1">
      <c r="A21"/>
      <c r="B21" s="45" t="s">
        <v>42</v>
      </c>
      <c r="C21" s="46" t="s">
        <v>31</v>
      </c>
      <c r="D21" s="47">
        <v>234</v>
      </c>
      <c r="E21" s="48">
        <v>5</v>
      </c>
      <c r="F21" s="49">
        <v>543</v>
      </c>
      <c r="G21" s="43"/>
      <c r="H21" s="7"/>
      <c r="I21" t="s">
        <v>41</v>
      </c>
      <c r="J21" s="160">
        <v>21</v>
      </c>
      <c r="K21" s="160">
        <v>54</v>
      </c>
      <c r="L21" s="160">
        <v>543</v>
      </c>
      <c r="M21"/>
      <c r="N21"/>
      <c r="O21"/>
      <c r="P21" s="1"/>
      <c r="Q21" s="1"/>
      <c r="R21" s="1"/>
      <c r="S21" s="1"/>
      <c r="T21" s="1"/>
      <c r="U21" s="1"/>
      <c r="V21" s="1"/>
      <c r="W21" s="1"/>
      <c r="X21" s="1"/>
      <c r="Z21" s="1"/>
      <c r="AA21" s="1"/>
      <c r="AB21" s="1"/>
      <c r="AC21" s="1"/>
    </row>
    <row r="22" spans="1:29" s="2" customFormat="1">
      <c r="A22"/>
      <c r="B22" s="45" t="s">
        <v>43</v>
      </c>
      <c r="C22" s="46" t="s">
        <v>31</v>
      </c>
      <c r="D22" s="47">
        <v>2456</v>
      </c>
      <c r="E22" s="48">
        <v>5</v>
      </c>
      <c r="F22" s="49">
        <v>667</v>
      </c>
      <c r="G22" s="43"/>
      <c r="H22" s="7"/>
      <c r="I22" t="s">
        <v>35</v>
      </c>
      <c r="J22" s="160">
        <v>1234</v>
      </c>
      <c r="K22" s="160">
        <v>5</v>
      </c>
      <c r="L22" s="160">
        <v>32</v>
      </c>
      <c r="M22"/>
      <c r="N22"/>
      <c r="O22"/>
      <c r="P22" s="1"/>
      <c r="Q22" s="1"/>
      <c r="R22" s="1"/>
      <c r="S22" s="1"/>
      <c r="T22" s="1"/>
      <c r="U22" s="1"/>
      <c r="V22" s="1"/>
      <c r="W22" s="1"/>
      <c r="X22" s="1"/>
      <c r="Z22" s="1"/>
      <c r="AA22" s="1"/>
      <c r="AB22" s="1"/>
      <c r="AC22" s="1"/>
    </row>
    <row r="23" spans="1:29" s="2" customFormat="1">
      <c r="A23"/>
      <c r="B23" s="45" t="s">
        <v>44</v>
      </c>
      <c r="C23" s="46" t="s">
        <v>45</v>
      </c>
      <c r="D23" s="47">
        <v>322</v>
      </c>
      <c r="E23" s="48">
        <v>6</v>
      </c>
      <c r="F23" s="49">
        <v>4346</v>
      </c>
      <c r="G23" s="43"/>
      <c r="H23" s="7"/>
      <c r="I23" t="s">
        <v>40</v>
      </c>
      <c r="J23" s="160">
        <v>455</v>
      </c>
      <c r="K23" s="160">
        <v>4</v>
      </c>
      <c r="L23" s="160">
        <v>24</v>
      </c>
      <c r="M23"/>
      <c r="N23"/>
      <c r="O23"/>
      <c r="P23" s="1"/>
      <c r="Q23" s="1"/>
      <c r="R23" s="1"/>
      <c r="S23" s="1"/>
      <c r="T23" s="1"/>
      <c r="U23" s="1"/>
      <c r="V23" s="1"/>
      <c r="W23" s="1"/>
      <c r="X23" s="1"/>
      <c r="Z23" s="1"/>
      <c r="AA23" s="1"/>
      <c r="AB23" s="1"/>
      <c r="AC23" s="1"/>
    </row>
    <row r="24" spans="1:29" s="2" customFormat="1" ht="15" thickBot="1">
      <c r="A24"/>
      <c r="B24" s="51" t="s">
        <v>46</v>
      </c>
      <c r="C24" s="52" t="s">
        <v>36</v>
      </c>
      <c r="D24" s="53">
        <v>122</v>
      </c>
      <c r="E24" s="54">
        <v>78</v>
      </c>
      <c r="F24" s="55">
        <v>3322</v>
      </c>
      <c r="G24" s="43"/>
      <c r="H24" s="7"/>
      <c r="I24" t="s">
        <v>37</v>
      </c>
      <c r="J24" s="160">
        <v>9876</v>
      </c>
      <c r="K24" s="160">
        <v>656</v>
      </c>
      <c r="L24" s="160">
        <v>32</v>
      </c>
      <c r="M24"/>
      <c r="N24"/>
      <c r="O24"/>
      <c r="P24" s="1"/>
      <c r="Q24" s="1"/>
      <c r="R24" s="1"/>
      <c r="S24" s="1"/>
      <c r="T24" s="1"/>
      <c r="U24" s="1"/>
      <c r="V24" s="1"/>
      <c r="W24" s="1"/>
      <c r="X24" s="1"/>
      <c r="Z24" s="1"/>
      <c r="AA24" s="1"/>
      <c r="AB24" s="1"/>
      <c r="AC24" s="1"/>
    </row>
    <row r="25" spans="1:29" s="2" customFormat="1">
      <c r="A25"/>
      <c r="B25" s="39"/>
      <c r="C25" s="40"/>
      <c r="D25" s="41"/>
      <c r="E25" s="1"/>
      <c r="F25" s="44"/>
      <c r="G25" s="43"/>
      <c r="H25" s="7"/>
      <c r="I25" t="s">
        <v>46</v>
      </c>
      <c r="J25" s="160">
        <v>122</v>
      </c>
      <c r="K25" s="160">
        <v>78</v>
      </c>
      <c r="L25" s="160">
        <v>3322</v>
      </c>
      <c r="M25"/>
      <c r="N25"/>
      <c r="O25"/>
      <c r="P25" s="1"/>
      <c r="Q25" s="1"/>
      <c r="R25" s="1"/>
      <c r="S25" s="1"/>
      <c r="T25" s="1"/>
      <c r="U25" s="1"/>
      <c r="V25" s="1"/>
      <c r="W25" s="1"/>
      <c r="X25" s="1"/>
      <c r="Z25" s="1"/>
      <c r="AA25" s="1"/>
      <c r="AB25" s="1"/>
      <c r="AC25" s="1"/>
    </row>
    <row r="26" spans="1:29" s="2" customFormat="1">
      <c r="A26"/>
      <c r="B26" s="39"/>
      <c r="C26" s="40"/>
      <c r="D26" s="41"/>
      <c r="E26" s="1"/>
      <c r="F26" s="44"/>
      <c r="G26" s="43"/>
      <c r="H26" s="7"/>
      <c r="I26" t="s">
        <v>148</v>
      </c>
      <c r="J26" s="160">
        <v>31188</v>
      </c>
      <c r="K26" s="160">
        <v>6702</v>
      </c>
      <c r="L26" s="160">
        <v>35124</v>
      </c>
      <c r="M26"/>
      <c r="N26"/>
      <c r="O26"/>
      <c r="P26" s="1"/>
      <c r="Q26" s="1"/>
      <c r="R26" s="1"/>
      <c r="S26" s="1"/>
      <c r="T26" s="1"/>
      <c r="U26" s="1"/>
      <c r="V26" s="1"/>
      <c r="W26" s="1"/>
      <c r="X26" s="1"/>
      <c r="Z26" s="1"/>
      <c r="AA26" s="1"/>
      <c r="AB26" s="1"/>
      <c r="AC26" s="1"/>
    </row>
    <row r="27" spans="1:29" s="2" customFormat="1">
      <c r="A27"/>
      <c r="B27" s="39"/>
      <c r="C27" s="40"/>
      <c r="D27" s="41"/>
      <c r="E27" s="1"/>
      <c r="F27" s="44"/>
      <c r="G27" s="43"/>
      <c r="H27" s="7"/>
      <c r="I27"/>
      <c r="J27"/>
      <c r="K27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Z27" s="1"/>
      <c r="AA27" s="1"/>
      <c r="AB27" s="1"/>
      <c r="AC27" s="1"/>
    </row>
    <row r="28" spans="1:29" s="2" customFormat="1">
      <c r="A28"/>
      <c r="B28" s="39"/>
      <c r="C28" s="40"/>
      <c r="D28" s="41"/>
      <c r="E28" s="1"/>
      <c r="F28" s="7"/>
      <c r="G28" s="7"/>
      <c r="H28" s="7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Z28" s="1"/>
      <c r="AA28" s="1"/>
      <c r="AB28" s="1"/>
      <c r="AC28" s="1"/>
    </row>
    <row r="29" spans="1:29" s="2" customFormat="1">
      <c r="A29"/>
      <c r="B29" s="39"/>
      <c r="C29" s="40"/>
      <c r="D29" s="4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Z29" s="1"/>
      <c r="AA29" s="1"/>
      <c r="AB29" s="1"/>
      <c r="AC29" s="1"/>
    </row>
    <row r="30" spans="1:29" s="2" customFormat="1">
      <c r="A30"/>
      <c r="B30" s="39"/>
      <c r="C30" s="40"/>
      <c r="D30" s="4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Z30" s="1"/>
      <c r="AA30" s="1"/>
      <c r="AB30" s="1"/>
      <c r="AC30" s="1"/>
    </row>
    <row r="31" spans="1:29" s="2" customFormat="1">
      <c r="A31"/>
      <c r="B31" s="39"/>
      <c r="C31" s="40"/>
      <c r="D31" s="4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Z31" s="1"/>
      <c r="AA31" s="1"/>
      <c r="AB31" s="1"/>
      <c r="AC31" s="1"/>
    </row>
    <row r="32" spans="1:29" s="2" customFormat="1">
      <c r="A32"/>
      <c r="B32" s="39"/>
      <c r="C32" s="40"/>
      <c r="D32" s="4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Z32" s="1"/>
      <c r="AA32" s="1"/>
      <c r="AB32" s="1"/>
      <c r="AC32" s="1"/>
    </row>
    <row r="33" spans="1:29" s="2" customFormat="1">
      <c r="A33"/>
      <c r="B33" s="39"/>
      <c r="C33" s="40"/>
      <c r="D33" s="4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Z33" s="1"/>
      <c r="AA33" s="1"/>
      <c r="AB33" s="1"/>
      <c r="AC33" s="1"/>
    </row>
    <row r="34" spans="1:29" s="1" customFormat="1">
      <c r="B34" s="39"/>
      <c r="C34" s="40"/>
      <c r="D34" s="41"/>
      <c r="Y34" s="2"/>
    </row>
    <row r="35" spans="1:29" s="1" customFormat="1">
      <c r="B35" s="39"/>
      <c r="C35" s="40"/>
      <c r="D35" s="41"/>
      <c r="Y35" s="2"/>
    </row>
    <row r="36" spans="1:29" s="1" customFormat="1">
      <c r="B36" s="39"/>
      <c r="C36" s="40"/>
      <c r="D36" s="41"/>
      <c r="Y36" s="2"/>
    </row>
    <row r="37" spans="1:29" s="1" customFormat="1">
      <c r="B37" s="39"/>
      <c r="C37" s="40"/>
      <c r="D37" s="41"/>
      <c r="Y37" s="2"/>
    </row>
    <row r="38" spans="1:29" s="1" customFormat="1">
      <c r="B38" s="39"/>
      <c r="C38" s="40"/>
      <c r="D38" s="41"/>
      <c r="Y38" s="2"/>
    </row>
    <row r="39" spans="1:29">
      <c r="B39" s="39"/>
      <c r="C39" s="40"/>
      <c r="D39" s="41"/>
    </row>
    <row r="40" spans="1:29">
      <c r="B40" s="39"/>
      <c r="C40" s="40"/>
      <c r="D40" s="42"/>
    </row>
    <row r="41" spans="1:29">
      <c r="B41" s="39"/>
      <c r="C41" s="40"/>
      <c r="D41" s="41"/>
    </row>
    <row r="42" spans="1:29">
      <c r="B42" s="39"/>
      <c r="C42" s="40"/>
      <c r="D42" s="41"/>
    </row>
    <row r="43" spans="1:29">
      <c r="B43" s="39"/>
      <c r="C43" s="40"/>
      <c r="D43" s="41"/>
    </row>
    <row r="44" spans="1:29">
      <c r="B44" s="39"/>
      <c r="C44" s="40"/>
      <c r="D44" s="41"/>
    </row>
    <row r="45" spans="1:29">
      <c r="B45" s="39"/>
      <c r="C45" s="40"/>
      <c r="D45" s="41"/>
    </row>
    <row r="46" spans="1:29">
      <c r="B46" s="39"/>
      <c r="C46" s="40"/>
      <c r="D46" s="41"/>
    </row>
    <row r="47" spans="1:29">
      <c r="B47" s="39"/>
      <c r="C47" s="40"/>
      <c r="D47" s="41"/>
    </row>
    <row r="48" spans="1:29">
      <c r="B48" s="39"/>
      <c r="C48" s="40"/>
      <c r="D48" s="41"/>
    </row>
    <row r="49" spans="2:4">
      <c r="B49" s="39"/>
      <c r="C49" s="40"/>
      <c r="D49" s="41"/>
    </row>
    <row r="50" spans="2:4">
      <c r="B50" s="39"/>
      <c r="C50" s="40"/>
      <c r="D50" s="41"/>
    </row>
    <row r="51" spans="2:4">
      <c r="B51" s="39"/>
      <c r="C51" s="40"/>
      <c r="D51" s="41"/>
    </row>
    <row r="52" spans="2:4">
      <c r="B52" s="39"/>
      <c r="C52" s="40"/>
      <c r="D52" s="41"/>
    </row>
    <row r="53" spans="2:4">
      <c r="B53" s="39"/>
      <c r="C53" s="40"/>
      <c r="D53" s="41"/>
    </row>
    <row r="54" spans="2:4">
      <c r="B54" s="39"/>
      <c r="C54" s="40"/>
      <c r="D54" s="41"/>
    </row>
    <row r="55" spans="2:4">
      <c r="B55" s="39"/>
      <c r="C55" s="40"/>
      <c r="D55" s="41"/>
    </row>
    <row r="56" spans="2:4">
      <c r="B56" s="39"/>
      <c r="C56" s="40"/>
      <c r="D56" s="41"/>
    </row>
    <row r="57" spans="2:4">
      <c r="B57" s="39"/>
      <c r="C57" s="40"/>
      <c r="D57" s="41"/>
    </row>
    <row r="58" spans="2:4">
      <c r="B58" s="39"/>
      <c r="C58" s="40"/>
      <c r="D58" s="41"/>
    </row>
    <row r="59" spans="2:4">
      <c r="B59" s="39"/>
      <c r="C59" s="40"/>
      <c r="D59" s="41"/>
    </row>
    <row r="60" spans="2:4">
      <c r="B60" s="39"/>
      <c r="C60" s="40"/>
      <c r="D60" s="41"/>
    </row>
    <row r="61" spans="2:4">
      <c r="B61" s="39"/>
      <c r="C61" s="40"/>
      <c r="D61" s="41"/>
    </row>
    <row r="62" spans="2:4">
      <c r="B62" s="39"/>
      <c r="C62" s="40"/>
      <c r="D62" s="41"/>
    </row>
    <row r="63" spans="2:4">
      <c r="B63" s="39"/>
      <c r="C63" s="40"/>
      <c r="D63" s="41"/>
    </row>
    <row r="64" spans="2:4">
      <c r="B64" s="39"/>
      <c r="C64" s="40"/>
      <c r="D64" s="41"/>
    </row>
    <row r="65" spans="2:4">
      <c r="B65" s="39"/>
      <c r="C65" s="40"/>
      <c r="D65" s="41"/>
    </row>
    <row r="66" spans="2:4">
      <c r="B66" s="39"/>
      <c r="C66" s="40"/>
      <c r="D66" s="41"/>
    </row>
    <row r="67" spans="2:4">
      <c r="B67" s="39"/>
      <c r="C67" s="40"/>
      <c r="D67" s="41"/>
    </row>
    <row r="68" spans="2:4">
      <c r="B68" s="39"/>
      <c r="C68" s="40"/>
      <c r="D68" s="41"/>
    </row>
    <row r="69" spans="2:4">
      <c r="B69" s="39"/>
      <c r="C69" s="40"/>
      <c r="D69" s="41"/>
    </row>
    <row r="70" spans="2:4">
      <c r="B70" s="39"/>
      <c r="C70" s="40"/>
      <c r="D70" s="41"/>
    </row>
    <row r="71" spans="2:4">
      <c r="B71" s="39"/>
      <c r="C71" s="40"/>
      <c r="D71" s="41"/>
    </row>
    <row r="72" spans="2:4">
      <c r="B72" s="39"/>
      <c r="C72" s="40"/>
      <c r="D72" s="41"/>
    </row>
    <row r="73" spans="2:4">
      <c r="B73" s="39"/>
      <c r="C73" s="40"/>
      <c r="D73" s="41"/>
    </row>
    <row r="74" spans="2:4">
      <c r="B74" s="39"/>
      <c r="C74" s="40"/>
      <c r="D74" s="41"/>
    </row>
    <row r="75" spans="2:4">
      <c r="B75" s="39"/>
      <c r="C75" s="40"/>
      <c r="D75" s="41"/>
    </row>
    <row r="76" spans="2:4">
      <c r="B76" s="39"/>
      <c r="C76" s="40"/>
      <c r="D76" s="41"/>
    </row>
    <row r="77" spans="2:4">
      <c r="B77" s="39"/>
      <c r="C77" s="40"/>
      <c r="D77" s="41"/>
    </row>
    <row r="78" spans="2:4">
      <c r="B78" s="39"/>
      <c r="C78" s="40"/>
      <c r="D78" s="41"/>
    </row>
    <row r="79" spans="2:4">
      <c r="B79" s="39"/>
      <c r="C79" s="40"/>
      <c r="D79" s="41"/>
    </row>
    <row r="80" spans="2:4">
      <c r="B80" s="39"/>
      <c r="C80" s="40"/>
      <c r="D80" s="41"/>
    </row>
    <row r="81" spans="2:4">
      <c r="B81" s="39"/>
      <c r="C81" s="40"/>
      <c r="D81" s="41"/>
    </row>
    <row r="82" spans="2:4">
      <c r="B82" s="39"/>
      <c r="C82" s="40"/>
      <c r="D82" s="42"/>
    </row>
    <row r="83" spans="2:4">
      <c r="B83" s="39"/>
      <c r="C83" s="40"/>
      <c r="D83" s="42"/>
    </row>
    <row r="84" spans="2:4">
      <c r="B84" s="39"/>
      <c r="C84" s="40"/>
      <c r="D84" s="41"/>
    </row>
    <row r="85" spans="2:4">
      <c r="B85" s="39"/>
      <c r="C85" s="40"/>
      <c r="D85" s="41"/>
    </row>
    <row r="86" spans="2:4">
      <c r="B86" s="39"/>
      <c r="C86" s="40"/>
      <c r="D86" s="41"/>
    </row>
    <row r="87" spans="2:4">
      <c r="B87" s="39"/>
      <c r="C87" s="40"/>
      <c r="D87" s="41"/>
    </row>
    <row r="88" spans="2:4">
      <c r="B88" s="39"/>
      <c r="C88" s="40"/>
      <c r="D88" s="41"/>
    </row>
    <row r="89" spans="2:4">
      <c r="B89" s="39"/>
      <c r="C89" s="40"/>
      <c r="D89" s="41"/>
    </row>
    <row r="90" spans="2:4">
      <c r="B90" s="39"/>
      <c r="C90" s="40"/>
      <c r="D90" s="41"/>
    </row>
    <row r="91" spans="2:4">
      <c r="B91" s="39"/>
      <c r="C91" s="40"/>
      <c r="D91" s="41"/>
    </row>
    <row r="92" spans="2:4">
      <c r="B92" s="39"/>
      <c r="C92" s="40"/>
      <c r="D92" s="41"/>
    </row>
    <row r="93" spans="2:4">
      <c r="B93" s="39"/>
      <c r="C93" s="40"/>
      <c r="D93" s="41"/>
    </row>
    <row r="94" spans="2:4">
      <c r="B94" s="39"/>
      <c r="C94" s="40"/>
      <c r="D94" s="41"/>
    </row>
    <row r="95" spans="2:4">
      <c r="B95" s="39"/>
      <c r="C95" s="40"/>
      <c r="D95" s="42"/>
    </row>
    <row r="96" spans="2:4">
      <c r="B96" s="39"/>
      <c r="C96" s="40"/>
      <c r="D96" s="42"/>
    </row>
    <row r="97" spans="2:28">
      <c r="B97" s="39"/>
      <c r="C97" s="40"/>
      <c r="D97" s="42"/>
    </row>
    <row r="98" spans="2:28">
      <c r="B98" s="39"/>
      <c r="C98" s="40"/>
      <c r="D98" s="41"/>
    </row>
    <row r="99" spans="2:28">
      <c r="B99" s="39"/>
      <c r="C99" s="40"/>
      <c r="D99" s="41"/>
    </row>
    <row r="100" spans="2:28">
      <c r="B100" s="39"/>
      <c r="C100" s="40"/>
      <c r="D100" s="41"/>
      <c r="Z100" s="31" t="s">
        <v>48</v>
      </c>
      <c r="AA100"/>
      <c r="AB100"/>
    </row>
    <row r="101" spans="2:28">
      <c r="B101" s="39"/>
      <c r="C101" s="40"/>
      <c r="D101" s="41"/>
      <c r="Z101" s="31" t="s">
        <v>22</v>
      </c>
      <c r="AA101"/>
      <c r="AB101"/>
    </row>
    <row r="102" spans="2:28">
      <c r="B102" s="39"/>
      <c r="C102" s="40"/>
      <c r="D102" s="41"/>
    </row>
    <row r="103" spans="2:28">
      <c r="B103" s="39"/>
      <c r="C103" s="40"/>
      <c r="D103" s="41"/>
    </row>
    <row r="104" spans="2:28">
      <c r="B104" s="39"/>
      <c r="C104" s="40"/>
      <c r="D104" s="41"/>
    </row>
    <row r="105" spans="2:28">
      <c r="B105" s="39"/>
      <c r="C105" s="40"/>
      <c r="D105" s="41"/>
    </row>
    <row r="106" spans="2:28">
      <c r="B106" s="39"/>
      <c r="C106" s="40"/>
      <c r="D106" s="41"/>
    </row>
    <row r="107" spans="2:28">
      <c r="B107" s="39"/>
      <c r="C107" s="40"/>
      <c r="D107" s="41"/>
    </row>
    <row r="108" spans="2:28">
      <c r="B108" s="39"/>
      <c r="C108" s="40"/>
      <c r="D108" s="41"/>
    </row>
    <row r="109" spans="2:28">
      <c r="B109" s="39"/>
      <c r="C109" s="40"/>
      <c r="D109" s="41"/>
    </row>
    <row r="110" spans="2:28">
      <c r="B110" s="39"/>
      <c r="C110" s="40"/>
      <c r="D110" s="41"/>
    </row>
    <row r="111" spans="2:28">
      <c r="B111" s="39"/>
      <c r="C111" s="40"/>
      <c r="D111" s="41"/>
    </row>
    <row r="112" spans="2:28">
      <c r="B112" s="39"/>
      <c r="C112" s="40"/>
      <c r="D112" s="41"/>
    </row>
    <row r="113" spans="2:4">
      <c r="B113" s="39"/>
      <c r="C113" s="40"/>
      <c r="D113" s="41"/>
    </row>
    <row r="114" spans="2:4">
      <c r="B114" s="39"/>
      <c r="C114" s="40"/>
      <c r="D114" s="41"/>
    </row>
    <row r="115" spans="2:4">
      <c r="B115" s="39"/>
      <c r="C115" s="40"/>
      <c r="D115" s="41"/>
    </row>
    <row r="116" spans="2:4">
      <c r="B116" s="39"/>
      <c r="C116" s="40"/>
      <c r="D116" s="41"/>
    </row>
    <row r="117" spans="2:4">
      <c r="B117" s="39"/>
      <c r="C117" s="40"/>
      <c r="D117" s="42"/>
    </row>
    <row r="118" spans="2:4">
      <c r="B118" s="39"/>
      <c r="C118" s="40"/>
      <c r="D118" s="41"/>
    </row>
    <row r="119" spans="2:4">
      <c r="B119" s="39"/>
      <c r="C119" s="40"/>
      <c r="D119" s="41"/>
    </row>
    <row r="120" spans="2:4">
      <c r="B120" s="39"/>
      <c r="C120" s="40"/>
      <c r="D120" s="41"/>
    </row>
    <row r="121" spans="2:4">
      <c r="B121" s="39"/>
      <c r="C121" s="40"/>
      <c r="D121" s="41"/>
    </row>
    <row r="122" spans="2:4">
      <c r="B122" s="39"/>
      <c r="C122" s="40"/>
      <c r="D122" s="41"/>
    </row>
    <row r="123" spans="2:4">
      <c r="B123" s="39"/>
      <c r="C123" s="40"/>
      <c r="D123" s="41"/>
    </row>
    <row r="124" spans="2:4">
      <c r="B124" s="39"/>
      <c r="C124" s="40"/>
      <c r="D124" s="41"/>
    </row>
    <row r="125" spans="2:4">
      <c r="B125" s="39"/>
      <c r="C125" s="40"/>
      <c r="D125" s="41"/>
    </row>
  </sheetData>
  <mergeCells count="2">
    <mergeCell ref="F9:G9"/>
    <mergeCell ref="B8:H8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8"/>
  <dimension ref="A3:AC125"/>
  <sheetViews>
    <sheetView showGridLines="0" zoomScaleNormal="100" workbookViewId="0">
      <selection activeCell="H12" activeCellId="2" sqref="B12:C23 F12:F23 H12:H23"/>
    </sheetView>
  </sheetViews>
  <sheetFormatPr defaultRowHeight="14.5"/>
  <cols>
    <col min="1" max="1" width="5.54296875" customWidth="1"/>
    <col min="2" max="2" width="13" customWidth="1"/>
    <col min="3" max="3" width="24.7265625" customWidth="1"/>
    <col min="4" max="4" width="5" customWidth="1"/>
    <col min="5" max="5" width="13.453125" customWidth="1"/>
    <col min="6" max="6" width="26.453125" customWidth="1"/>
    <col min="7" max="7" width="6.1796875" customWidth="1"/>
    <col min="8" max="8" width="24.26953125" customWidth="1"/>
    <col min="15" max="15" width="11.81640625" customWidth="1"/>
    <col min="25" max="25" width="9.1796875" style="2"/>
    <col min="26" max="28" width="9.1796875" style="1"/>
    <col min="29" max="29" width="10.26953125" style="1" customWidth="1"/>
  </cols>
  <sheetData>
    <row r="3" spans="1:29" s="2" customFormat="1" ht="15" customHeight="1">
      <c r="A3"/>
      <c r="B3"/>
      <c r="C3" s="4"/>
      <c r="D3" s="4"/>
      <c r="E3" s="4"/>
      <c r="F3" s="25"/>
      <c r="G3" s="25"/>
      <c r="H3" s="25"/>
      <c r="I3" s="25"/>
      <c r="J3" s="25"/>
      <c r="K3" s="25"/>
      <c r="L3" s="25"/>
      <c r="M3" s="25"/>
      <c r="N3" s="25"/>
      <c r="O3" s="25"/>
      <c r="P3" s="6"/>
      <c r="Q3" s="6"/>
      <c r="R3" s="6"/>
      <c r="S3" s="5"/>
      <c r="T3" s="5"/>
      <c r="U3" s="5"/>
      <c r="V3" s="5"/>
      <c r="W3" s="5"/>
      <c r="X3"/>
      <c r="Z3" s="1"/>
      <c r="AA3" s="1"/>
      <c r="AB3" s="1"/>
      <c r="AC3" s="1"/>
    </row>
    <row r="4" spans="1:29" s="2" customFormat="1" ht="15" customHeight="1">
      <c r="A4"/>
      <c r="B4"/>
      <c r="C4" s="4"/>
      <c r="D4" s="4"/>
      <c r="E4" s="4"/>
      <c r="F4" s="26"/>
      <c r="G4" s="26"/>
      <c r="H4" s="26"/>
      <c r="I4" s="26"/>
      <c r="J4" s="26"/>
      <c r="K4" s="27"/>
      <c r="L4" s="27"/>
      <c r="M4" s="25"/>
      <c r="N4" s="28"/>
      <c r="O4" s="28"/>
      <c r="P4" s="24"/>
      <c r="Q4" s="24"/>
      <c r="R4" s="24"/>
      <c r="S4" s="5"/>
      <c r="T4" s="5"/>
      <c r="U4" s="5"/>
      <c r="V4" s="5"/>
      <c r="W4" s="5"/>
      <c r="X4"/>
      <c r="Z4" s="1"/>
      <c r="AA4" s="1"/>
      <c r="AB4" s="1"/>
      <c r="AC4" s="1"/>
    </row>
    <row r="5" spans="1:29" s="2" customFormat="1" ht="15" customHeight="1">
      <c r="A5"/>
      <c r="B5"/>
      <c r="C5" s="4"/>
      <c r="D5" s="4"/>
      <c r="E5" s="4"/>
      <c r="F5" s="26"/>
      <c r="G5" s="26"/>
      <c r="H5" s="26"/>
      <c r="I5" s="26"/>
      <c r="J5" s="26"/>
      <c r="K5" s="27"/>
      <c r="L5" s="27"/>
      <c r="M5" s="25"/>
      <c r="N5" s="28"/>
      <c r="O5" s="29"/>
      <c r="P5" s="24"/>
      <c r="Q5" s="24"/>
      <c r="R5" s="24"/>
      <c r="S5" s="5"/>
      <c r="T5" s="5"/>
      <c r="U5" s="5"/>
      <c r="V5" s="5"/>
      <c r="W5" s="5"/>
      <c r="X5"/>
      <c r="Z5" s="1"/>
      <c r="AA5" s="1"/>
      <c r="AB5" s="1"/>
      <c r="AC5" s="1"/>
    </row>
    <row r="6" spans="1:29">
      <c r="F6" s="30"/>
      <c r="G6" s="30"/>
      <c r="H6" s="30"/>
      <c r="I6" s="30"/>
      <c r="J6" s="30"/>
      <c r="K6" s="30"/>
      <c r="L6" s="30"/>
      <c r="M6" s="30"/>
      <c r="N6" s="30"/>
      <c r="O6" s="30"/>
    </row>
    <row r="7" spans="1:29" ht="15" thickBot="1"/>
    <row r="8" spans="1:29" ht="20.5" thickBot="1">
      <c r="B8" s="240" t="s">
        <v>66</v>
      </c>
      <c r="C8" s="241"/>
      <c r="D8" s="241"/>
      <c r="E8" s="241"/>
      <c r="F8" s="241"/>
      <c r="G8" s="241"/>
      <c r="H8" s="242"/>
    </row>
    <row r="9" spans="1:29" ht="12.75" customHeight="1" thickBot="1">
      <c r="C9" s="11"/>
      <c r="F9" s="243"/>
      <c r="G9" s="243"/>
      <c r="H9" s="7"/>
    </row>
    <row r="10" spans="1:29" ht="15" thickBot="1">
      <c r="B10" s="244" t="s">
        <v>67</v>
      </c>
      <c r="C10" s="245"/>
      <c r="D10" s="69"/>
      <c r="E10" s="244" t="s">
        <v>68</v>
      </c>
      <c r="F10" s="245"/>
      <c r="G10" s="70"/>
      <c r="H10" s="75" t="s">
        <v>51</v>
      </c>
    </row>
    <row r="11" spans="1:29" ht="15" thickBot="1">
      <c r="B11" s="72" t="s">
        <v>52</v>
      </c>
      <c r="C11" s="73" t="s">
        <v>53</v>
      </c>
      <c r="D11" s="71"/>
      <c r="E11" s="72" t="s">
        <v>52</v>
      </c>
      <c r="F11" s="73" t="s">
        <v>53</v>
      </c>
      <c r="G11" s="70"/>
      <c r="H11" s="74" t="s">
        <v>1</v>
      </c>
    </row>
    <row r="12" spans="1:29" s="2" customFormat="1">
      <c r="A12"/>
      <c r="B12" s="76" t="s">
        <v>54</v>
      </c>
      <c r="C12" s="79">
        <v>45678</v>
      </c>
      <c r="D12" s="80"/>
      <c r="E12" s="76" t="s">
        <v>54</v>
      </c>
      <c r="F12" s="79">
        <v>49876</v>
      </c>
      <c r="G12" s="81"/>
      <c r="H12" s="82">
        <v>65000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 s="1"/>
      <c r="X12" s="1"/>
      <c r="Z12" s="1"/>
      <c r="AA12" s="1"/>
      <c r="AB12" s="1"/>
      <c r="AC12" s="1"/>
    </row>
    <row r="13" spans="1:29" s="2" customFormat="1">
      <c r="A13"/>
      <c r="B13" s="77" t="s">
        <v>55</v>
      </c>
      <c r="C13" s="83">
        <v>66534</v>
      </c>
      <c r="D13" s="80"/>
      <c r="E13" s="77" t="s">
        <v>55</v>
      </c>
      <c r="F13" s="83">
        <v>59043</v>
      </c>
      <c r="G13" s="81"/>
      <c r="H13" s="84">
        <v>45000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 s="1"/>
      <c r="X13" s="1"/>
      <c r="Z13" s="1"/>
      <c r="AA13" s="1"/>
      <c r="AB13" s="1"/>
      <c r="AC13" s="1"/>
    </row>
    <row r="14" spans="1:29" s="2" customFormat="1">
      <c r="A14"/>
      <c r="B14" s="77" t="s">
        <v>56</v>
      </c>
      <c r="C14" s="83">
        <v>49876</v>
      </c>
      <c r="D14" s="80"/>
      <c r="E14" s="77" t="s">
        <v>56</v>
      </c>
      <c r="F14" s="83">
        <v>53456</v>
      </c>
      <c r="G14" s="81"/>
      <c r="H14" s="84">
        <v>40000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 s="1"/>
      <c r="X14" s="1"/>
      <c r="Z14" s="1"/>
      <c r="AA14" s="1"/>
      <c r="AB14" s="1"/>
      <c r="AC14" s="1"/>
    </row>
    <row r="15" spans="1:29" s="2" customFormat="1">
      <c r="A15"/>
      <c r="B15" s="77" t="s">
        <v>57</v>
      </c>
      <c r="C15" s="83">
        <v>25678</v>
      </c>
      <c r="D15" s="80"/>
      <c r="E15" s="77" t="s">
        <v>57</v>
      </c>
      <c r="F15" s="83">
        <v>34599</v>
      </c>
      <c r="G15" s="81"/>
      <c r="H15" s="84">
        <v>40000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 s="1"/>
      <c r="X15" s="1"/>
      <c r="Z15" s="1"/>
      <c r="AA15" s="1"/>
      <c r="AB15" s="1"/>
      <c r="AC15" s="1"/>
    </row>
    <row r="16" spans="1:29" s="2" customFormat="1">
      <c r="A16"/>
      <c r="B16" s="77" t="s">
        <v>58</v>
      </c>
      <c r="C16" s="83">
        <v>12253</v>
      </c>
      <c r="D16" s="80"/>
      <c r="E16" s="77" t="s">
        <v>58</v>
      </c>
      <c r="F16" s="83">
        <v>17234</v>
      </c>
      <c r="G16" s="80"/>
      <c r="H16" s="84">
        <v>30000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 s="1"/>
      <c r="X16" s="1"/>
      <c r="Z16" s="1"/>
      <c r="AA16" s="1"/>
      <c r="AB16" s="1"/>
      <c r="AC16" s="1"/>
    </row>
    <row r="17" spans="1:29" s="2" customFormat="1">
      <c r="A17"/>
      <c r="B17" s="77" t="s">
        <v>59</v>
      </c>
      <c r="C17" s="83">
        <v>19854</v>
      </c>
      <c r="D17" s="80"/>
      <c r="E17" s="77" t="s">
        <v>59</v>
      </c>
      <c r="F17" s="83">
        <v>28903</v>
      </c>
      <c r="G17" s="80"/>
      <c r="H17" s="84">
        <v>25000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Z17" s="1"/>
      <c r="AA17" s="1"/>
      <c r="AB17" s="1"/>
      <c r="AC17" s="1"/>
    </row>
    <row r="18" spans="1:29" s="2" customFormat="1">
      <c r="A18"/>
      <c r="B18" s="77" t="s">
        <v>60</v>
      </c>
      <c r="C18" s="83">
        <v>76543</v>
      </c>
      <c r="D18" s="80"/>
      <c r="E18" s="77" t="s">
        <v>60</v>
      </c>
      <c r="F18" s="83">
        <v>66321</v>
      </c>
      <c r="G18" s="80"/>
      <c r="H18" s="84">
        <v>60000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Z18" s="1"/>
      <c r="AA18" s="1"/>
      <c r="AB18" s="1"/>
      <c r="AC18" s="1"/>
    </row>
    <row r="19" spans="1:29" s="2" customFormat="1">
      <c r="A19"/>
      <c r="B19" s="77" t="s">
        <v>61</v>
      </c>
      <c r="C19" s="83">
        <v>45329</v>
      </c>
      <c r="D19" s="80"/>
      <c r="E19" s="77" t="s">
        <v>61</v>
      </c>
      <c r="F19" s="83">
        <v>43234</v>
      </c>
      <c r="G19" s="80"/>
      <c r="H19" s="84">
        <v>35000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Z19" s="1"/>
      <c r="AA19" s="1"/>
      <c r="AB19" s="1"/>
      <c r="AC19" s="1"/>
    </row>
    <row r="20" spans="1:29" s="2" customFormat="1">
      <c r="A20"/>
      <c r="B20" s="77" t="s">
        <v>62</v>
      </c>
      <c r="C20" s="83">
        <v>99876</v>
      </c>
      <c r="D20" s="80"/>
      <c r="E20" s="77" t="s">
        <v>62</v>
      </c>
      <c r="F20" s="83">
        <v>87654</v>
      </c>
      <c r="G20" s="80"/>
      <c r="H20" s="84">
        <v>80000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Z20" s="1"/>
      <c r="AA20" s="1"/>
      <c r="AB20" s="1"/>
      <c r="AC20" s="1"/>
    </row>
    <row r="21" spans="1:29" s="2" customFormat="1">
      <c r="A21"/>
      <c r="B21" s="77" t="s">
        <v>63</v>
      </c>
      <c r="C21" s="83">
        <v>66543</v>
      </c>
      <c r="D21" s="80"/>
      <c r="E21" s="77" t="s">
        <v>63</v>
      </c>
      <c r="F21" s="83">
        <v>74987</v>
      </c>
      <c r="G21" s="80"/>
      <c r="H21" s="84">
        <v>80000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Z21" s="1"/>
      <c r="AA21" s="1"/>
      <c r="AB21" s="1"/>
      <c r="AC21" s="1"/>
    </row>
    <row r="22" spans="1:29" s="2" customFormat="1">
      <c r="A22"/>
      <c r="B22" s="77" t="s">
        <v>64</v>
      </c>
      <c r="C22" s="83">
        <v>124345</v>
      </c>
      <c r="D22" s="80"/>
      <c r="E22" s="77" t="s">
        <v>64</v>
      </c>
      <c r="F22" s="83">
        <v>144567</v>
      </c>
      <c r="G22" s="80"/>
      <c r="H22" s="84">
        <v>150000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Z22" s="1"/>
      <c r="AA22" s="1"/>
      <c r="AB22" s="1"/>
      <c r="AC22" s="1"/>
    </row>
    <row r="23" spans="1:29" s="2" customFormat="1" ht="15" thickBot="1">
      <c r="A23"/>
      <c r="B23" s="78" t="s">
        <v>65</v>
      </c>
      <c r="C23" s="85">
        <v>189773</v>
      </c>
      <c r="D23" s="80"/>
      <c r="E23" s="78" t="s">
        <v>65</v>
      </c>
      <c r="F23" s="85">
        <v>175876</v>
      </c>
      <c r="G23" s="80"/>
      <c r="H23" s="86">
        <v>180000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Z23" s="1"/>
      <c r="AA23" s="1"/>
      <c r="AB23" s="1"/>
      <c r="AC23" s="1"/>
    </row>
    <row r="24" spans="1:29" s="2" customFormat="1">
      <c r="A24"/>
      <c r="B24" s="68"/>
      <c r="C24" s="65"/>
      <c r="D24" s="66"/>
      <c r="E24" s="67"/>
      <c r="F24" s="67"/>
      <c r="G24" s="43"/>
      <c r="H24" s="7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Z24" s="1"/>
      <c r="AA24" s="1"/>
      <c r="AB24" s="1"/>
      <c r="AC24" s="1"/>
    </row>
    <row r="25" spans="1:29" s="2" customFormat="1">
      <c r="A25"/>
      <c r="B25" s="39"/>
      <c r="C25" s="40"/>
      <c r="D25" s="41"/>
      <c r="E25" s="1"/>
      <c r="F25" s="44"/>
      <c r="G25" s="43"/>
      <c r="H25" s="7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Z25" s="1"/>
      <c r="AA25" s="1"/>
      <c r="AB25" s="1"/>
      <c r="AC25" s="1"/>
    </row>
    <row r="26" spans="1:29" s="2" customFormat="1">
      <c r="A26"/>
      <c r="B26" s="39"/>
      <c r="C26" s="40"/>
      <c r="D26" s="41"/>
      <c r="E26" s="1"/>
      <c r="F26" s="44"/>
      <c r="G26" s="43"/>
      <c r="H26" s="7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Z26" s="1"/>
      <c r="AA26" s="1"/>
      <c r="AB26" s="1"/>
      <c r="AC26" s="1"/>
    </row>
    <row r="27" spans="1:29" s="2" customFormat="1">
      <c r="A27"/>
      <c r="B27" s="39"/>
      <c r="C27" s="40"/>
      <c r="D27" s="41"/>
      <c r="E27" s="1"/>
      <c r="F27" s="44"/>
      <c r="G27" s="43"/>
      <c r="H27" s="7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Z27" s="1"/>
      <c r="AA27" s="1"/>
      <c r="AB27" s="1"/>
      <c r="AC27" s="1"/>
    </row>
    <row r="28" spans="1:29" s="2" customFormat="1">
      <c r="A28"/>
      <c r="B28" s="39"/>
      <c r="C28" s="40"/>
      <c r="D28" s="41"/>
      <c r="E28" s="1"/>
      <c r="F28" s="7"/>
      <c r="G28" s="7"/>
      <c r="H28" s="7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Z28" s="1"/>
      <c r="AA28" s="1"/>
      <c r="AB28" s="1"/>
      <c r="AC28" s="1"/>
    </row>
    <row r="29" spans="1:29" s="2" customFormat="1">
      <c r="A29"/>
      <c r="B29" s="39"/>
      <c r="C29" s="40"/>
      <c r="D29" s="4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Z29" s="1"/>
      <c r="AA29" s="1"/>
      <c r="AB29" s="1"/>
      <c r="AC29" s="1"/>
    </row>
    <row r="30" spans="1:29" s="2" customFormat="1">
      <c r="A30"/>
      <c r="B30" s="39"/>
      <c r="C30" s="40"/>
      <c r="D30" s="4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Z30" s="1"/>
      <c r="AA30" s="1"/>
      <c r="AB30" s="1"/>
      <c r="AC30" s="1"/>
    </row>
    <row r="31" spans="1:29" s="2" customFormat="1">
      <c r="A31"/>
      <c r="B31" s="39"/>
      <c r="C31" s="40"/>
      <c r="D31" s="4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Z31" s="1"/>
      <c r="AA31" s="1"/>
      <c r="AB31" s="1"/>
      <c r="AC31" s="1"/>
    </row>
    <row r="32" spans="1:29" s="2" customFormat="1">
      <c r="A32"/>
      <c r="B32" s="39"/>
      <c r="C32" s="40"/>
      <c r="D32" s="4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Z32" s="1"/>
      <c r="AA32" s="1"/>
      <c r="AB32" s="1"/>
      <c r="AC32" s="1"/>
    </row>
    <row r="33" spans="1:29" s="2" customFormat="1">
      <c r="A33"/>
      <c r="B33" s="39"/>
      <c r="C33" s="40"/>
      <c r="D33" s="4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Z33" s="1"/>
      <c r="AA33" s="1"/>
      <c r="AB33" s="1"/>
      <c r="AC33" s="1"/>
    </row>
    <row r="34" spans="1:29" s="1" customFormat="1">
      <c r="B34" s="39"/>
      <c r="C34" s="40"/>
      <c r="D34" s="41"/>
      <c r="Y34" s="2"/>
    </row>
    <row r="35" spans="1:29" s="1" customFormat="1">
      <c r="B35" s="39"/>
      <c r="C35" s="40"/>
      <c r="D35" s="41"/>
      <c r="Y35" s="2"/>
    </row>
    <row r="36" spans="1:29" s="1" customFormat="1">
      <c r="B36" s="39"/>
      <c r="C36" s="40"/>
      <c r="D36" s="41"/>
      <c r="Y36" s="2"/>
    </row>
    <row r="37" spans="1:29" s="1" customFormat="1">
      <c r="B37" s="39"/>
      <c r="C37" s="40"/>
      <c r="D37" s="41"/>
      <c r="Y37" s="2"/>
    </row>
    <row r="38" spans="1:29" s="1" customFormat="1">
      <c r="B38" s="39"/>
      <c r="C38" s="40"/>
      <c r="D38" s="41"/>
      <c r="Y38" s="2"/>
    </row>
    <row r="39" spans="1:29">
      <c r="B39" s="39"/>
      <c r="C39" s="40"/>
      <c r="D39" s="41"/>
    </row>
    <row r="40" spans="1:29">
      <c r="B40" s="39"/>
      <c r="C40" s="40"/>
      <c r="D40" s="42"/>
    </row>
    <row r="41" spans="1:29">
      <c r="B41" s="39"/>
      <c r="C41" s="40"/>
      <c r="D41" s="41"/>
    </row>
    <row r="42" spans="1:29">
      <c r="B42" s="39"/>
      <c r="C42" s="40"/>
      <c r="D42" s="41"/>
    </row>
    <row r="43" spans="1:29">
      <c r="B43" s="39"/>
      <c r="C43" s="40"/>
      <c r="D43" s="41"/>
    </row>
    <row r="44" spans="1:29">
      <c r="B44" s="39"/>
      <c r="C44" s="40"/>
      <c r="D44" s="41"/>
    </row>
    <row r="45" spans="1:29">
      <c r="B45" s="39"/>
      <c r="C45" s="40"/>
      <c r="D45" s="41"/>
    </row>
    <row r="46" spans="1:29">
      <c r="B46" s="39"/>
      <c r="C46" s="40"/>
      <c r="D46" s="41"/>
    </row>
    <row r="47" spans="1:29">
      <c r="B47" s="39"/>
      <c r="C47" s="40"/>
      <c r="D47" s="41"/>
    </row>
    <row r="48" spans="1:29">
      <c r="B48" s="39"/>
      <c r="C48" s="40"/>
      <c r="D48" s="41"/>
    </row>
    <row r="49" spans="2:4">
      <c r="B49" s="39"/>
      <c r="C49" s="40"/>
      <c r="D49" s="41"/>
    </row>
    <row r="50" spans="2:4">
      <c r="B50" s="39"/>
      <c r="C50" s="40"/>
      <c r="D50" s="41"/>
    </row>
    <row r="51" spans="2:4">
      <c r="B51" s="39"/>
      <c r="C51" s="40"/>
      <c r="D51" s="41"/>
    </row>
    <row r="52" spans="2:4">
      <c r="B52" s="39"/>
      <c r="C52" s="40"/>
      <c r="D52" s="41"/>
    </row>
    <row r="53" spans="2:4">
      <c r="B53" s="39"/>
      <c r="C53" s="40"/>
      <c r="D53" s="41"/>
    </row>
    <row r="54" spans="2:4">
      <c r="B54" s="39"/>
      <c r="C54" s="40"/>
      <c r="D54" s="41"/>
    </row>
    <row r="55" spans="2:4">
      <c r="B55" s="39"/>
      <c r="C55" s="40"/>
      <c r="D55" s="41"/>
    </row>
    <row r="56" spans="2:4">
      <c r="B56" s="39"/>
      <c r="C56" s="40"/>
      <c r="D56" s="41"/>
    </row>
    <row r="57" spans="2:4">
      <c r="B57" s="39"/>
      <c r="C57" s="40"/>
      <c r="D57" s="41"/>
    </row>
    <row r="58" spans="2:4">
      <c r="B58" s="39"/>
      <c r="C58" s="40"/>
      <c r="D58" s="41"/>
    </row>
    <row r="59" spans="2:4">
      <c r="B59" s="39"/>
      <c r="C59" s="40"/>
      <c r="D59" s="41"/>
    </row>
    <row r="60" spans="2:4">
      <c r="B60" s="39"/>
      <c r="C60" s="40"/>
      <c r="D60" s="41"/>
    </row>
    <row r="61" spans="2:4">
      <c r="B61" s="39"/>
      <c r="C61" s="40"/>
      <c r="D61" s="41"/>
    </row>
    <row r="62" spans="2:4">
      <c r="B62" s="39"/>
      <c r="C62" s="40"/>
      <c r="D62" s="41"/>
    </row>
    <row r="63" spans="2:4">
      <c r="B63" s="39"/>
      <c r="C63" s="40"/>
      <c r="D63" s="41"/>
    </row>
    <row r="64" spans="2:4">
      <c r="B64" s="39"/>
      <c r="C64" s="40"/>
      <c r="D64" s="41"/>
    </row>
    <row r="65" spans="2:4">
      <c r="B65" s="39"/>
      <c r="C65" s="40"/>
      <c r="D65" s="41"/>
    </row>
    <row r="66" spans="2:4">
      <c r="B66" s="39"/>
      <c r="C66" s="40"/>
      <c r="D66" s="41"/>
    </row>
    <row r="67" spans="2:4">
      <c r="B67" s="39"/>
      <c r="C67" s="40"/>
      <c r="D67" s="41"/>
    </row>
    <row r="68" spans="2:4">
      <c r="B68" s="39"/>
      <c r="C68" s="40"/>
      <c r="D68" s="41"/>
    </row>
    <row r="69" spans="2:4">
      <c r="B69" s="39"/>
      <c r="C69" s="40"/>
      <c r="D69" s="41"/>
    </row>
    <row r="70" spans="2:4">
      <c r="B70" s="39"/>
      <c r="C70" s="40"/>
      <c r="D70" s="41"/>
    </row>
    <row r="71" spans="2:4">
      <c r="B71" s="39"/>
      <c r="C71" s="40"/>
      <c r="D71" s="41"/>
    </row>
    <row r="72" spans="2:4">
      <c r="B72" s="39"/>
      <c r="C72" s="40"/>
      <c r="D72" s="41"/>
    </row>
    <row r="73" spans="2:4">
      <c r="B73" s="39"/>
      <c r="C73" s="40"/>
      <c r="D73" s="41"/>
    </row>
    <row r="74" spans="2:4">
      <c r="B74" s="39"/>
      <c r="C74" s="40"/>
      <c r="D74" s="41"/>
    </row>
    <row r="75" spans="2:4">
      <c r="B75" s="39"/>
      <c r="C75" s="40"/>
      <c r="D75" s="41"/>
    </row>
    <row r="76" spans="2:4">
      <c r="B76" s="39"/>
      <c r="C76" s="40"/>
      <c r="D76" s="41"/>
    </row>
    <row r="77" spans="2:4">
      <c r="B77" s="39"/>
      <c r="C77" s="40"/>
      <c r="D77" s="41"/>
    </row>
    <row r="78" spans="2:4">
      <c r="B78" s="39"/>
      <c r="C78" s="40"/>
      <c r="D78" s="41"/>
    </row>
    <row r="79" spans="2:4">
      <c r="B79" s="39"/>
      <c r="C79" s="40"/>
      <c r="D79" s="41"/>
    </row>
    <row r="80" spans="2:4">
      <c r="B80" s="39"/>
      <c r="C80" s="40"/>
      <c r="D80" s="41"/>
    </row>
    <row r="81" spans="2:4">
      <c r="B81" s="39"/>
      <c r="C81" s="40"/>
      <c r="D81" s="41"/>
    </row>
    <row r="82" spans="2:4">
      <c r="B82" s="39"/>
      <c r="C82" s="40"/>
      <c r="D82" s="42"/>
    </row>
    <row r="83" spans="2:4">
      <c r="B83" s="39"/>
      <c r="C83" s="40"/>
      <c r="D83" s="42"/>
    </row>
    <row r="84" spans="2:4">
      <c r="B84" s="39"/>
      <c r="C84" s="40"/>
      <c r="D84" s="41"/>
    </row>
    <row r="85" spans="2:4">
      <c r="B85" s="39"/>
      <c r="C85" s="40"/>
      <c r="D85" s="41"/>
    </row>
    <row r="86" spans="2:4">
      <c r="B86" s="39"/>
      <c r="C86" s="40"/>
      <c r="D86" s="41"/>
    </row>
    <row r="87" spans="2:4">
      <c r="B87" s="39"/>
      <c r="C87" s="40"/>
      <c r="D87" s="41"/>
    </row>
    <row r="88" spans="2:4">
      <c r="B88" s="39"/>
      <c r="C88" s="40"/>
      <c r="D88" s="41"/>
    </row>
    <row r="89" spans="2:4">
      <c r="B89" s="39"/>
      <c r="C89" s="40"/>
      <c r="D89" s="41"/>
    </row>
    <row r="90" spans="2:4">
      <c r="B90" s="39"/>
      <c r="C90" s="40"/>
      <c r="D90" s="41"/>
    </row>
    <row r="91" spans="2:4">
      <c r="B91" s="39"/>
      <c r="C91" s="40"/>
      <c r="D91" s="41"/>
    </row>
    <row r="92" spans="2:4">
      <c r="B92" s="39"/>
      <c r="C92" s="40"/>
      <c r="D92" s="41"/>
    </row>
    <row r="93" spans="2:4">
      <c r="B93" s="39"/>
      <c r="C93" s="40"/>
      <c r="D93" s="41"/>
    </row>
    <row r="94" spans="2:4">
      <c r="B94" s="39"/>
      <c r="C94" s="40"/>
      <c r="D94" s="41"/>
    </row>
    <row r="95" spans="2:4">
      <c r="B95" s="39"/>
      <c r="C95" s="40"/>
      <c r="D95" s="42"/>
    </row>
    <row r="96" spans="2:4">
      <c r="B96" s="39"/>
      <c r="C96" s="40"/>
      <c r="D96" s="42"/>
    </row>
    <row r="97" spans="2:28">
      <c r="B97" s="39"/>
      <c r="C97" s="40"/>
      <c r="D97" s="42"/>
    </row>
    <row r="98" spans="2:28">
      <c r="B98" s="39"/>
      <c r="C98" s="40"/>
      <c r="D98" s="41"/>
    </row>
    <row r="99" spans="2:28">
      <c r="B99" s="39"/>
      <c r="C99" s="40"/>
      <c r="D99" s="41"/>
    </row>
    <row r="100" spans="2:28">
      <c r="B100" s="39"/>
      <c r="C100" s="40"/>
      <c r="D100" s="41"/>
      <c r="Z100" s="31" t="s">
        <v>69</v>
      </c>
      <c r="AA100"/>
      <c r="AB100"/>
    </row>
    <row r="101" spans="2:28">
      <c r="B101" s="39"/>
      <c r="C101" s="40"/>
      <c r="D101" s="41"/>
      <c r="Z101" s="31" t="s">
        <v>22</v>
      </c>
      <c r="AA101"/>
      <c r="AB101"/>
    </row>
    <row r="102" spans="2:28">
      <c r="B102" s="39"/>
      <c r="C102" s="40"/>
      <c r="D102" s="41"/>
    </row>
    <row r="103" spans="2:28">
      <c r="B103" s="39"/>
      <c r="C103" s="40"/>
      <c r="D103" s="41"/>
    </row>
    <row r="104" spans="2:28">
      <c r="B104" s="39"/>
      <c r="C104" s="40"/>
      <c r="D104" s="41"/>
    </row>
    <row r="105" spans="2:28">
      <c r="B105" s="39"/>
      <c r="C105" s="40"/>
      <c r="D105" s="41"/>
    </row>
    <row r="106" spans="2:28">
      <c r="B106" s="39"/>
      <c r="C106" s="40"/>
      <c r="D106" s="41"/>
    </row>
    <row r="107" spans="2:28">
      <c r="B107" s="39"/>
      <c r="C107" s="40"/>
      <c r="D107" s="41"/>
    </row>
    <row r="108" spans="2:28">
      <c r="B108" s="39"/>
      <c r="C108" s="40"/>
      <c r="D108" s="41"/>
    </row>
    <row r="109" spans="2:28">
      <c r="B109" s="39"/>
      <c r="C109" s="40"/>
      <c r="D109" s="41"/>
    </row>
    <row r="110" spans="2:28">
      <c r="B110" s="39"/>
      <c r="C110" s="40"/>
      <c r="D110" s="41"/>
    </row>
    <row r="111" spans="2:28">
      <c r="B111" s="39"/>
      <c r="C111" s="40"/>
      <c r="D111" s="41"/>
    </row>
    <row r="112" spans="2:28">
      <c r="B112" s="39"/>
      <c r="C112" s="40"/>
      <c r="D112" s="41"/>
    </row>
    <row r="113" spans="2:4">
      <c r="B113" s="39"/>
      <c r="C113" s="40"/>
      <c r="D113" s="41"/>
    </row>
    <row r="114" spans="2:4">
      <c r="B114" s="39"/>
      <c r="C114" s="40"/>
      <c r="D114" s="41"/>
    </row>
    <row r="115" spans="2:4">
      <c r="B115" s="39"/>
      <c r="C115" s="40"/>
      <c r="D115" s="41"/>
    </row>
    <row r="116" spans="2:4">
      <c r="B116" s="39"/>
      <c r="C116" s="40"/>
      <c r="D116" s="41"/>
    </row>
    <row r="117" spans="2:4">
      <c r="B117" s="39"/>
      <c r="C117" s="40"/>
      <c r="D117" s="42"/>
    </row>
    <row r="118" spans="2:4">
      <c r="B118" s="39"/>
      <c r="C118" s="40"/>
      <c r="D118" s="41"/>
    </row>
    <row r="119" spans="2:4">
      <c r="B119" s="39"/>
      <c r="C119" s="40"/>
      <c r="D119" s="41"/>
    </row>
    <row r="120" spans="2:4">
      <c r="B120" s="39"/>
      <c r="C120" s="40"/>
      <c r="D120" s="41"/>
    </row>
    <row r="121" spans="2:4">
      <c r="B121" s="39"/>
      <c r="C121" s="40"/>
      <c r="D121" s="41"/>
    </row>
    <row r="122" spans="2:4">
      <c r="B122" s="39"/>
      <c r="C122" s="40"/>
      <c r="D122" s="41"/>
    </row>
    <row r="123" spans="2:4">
      <c r="B123" s="39"/>
      <c r="C123" s="40"/>
      <c r="D123" s="41"/>
    </row>
    <row r="124" spans="2:4">
      <c r="B124" s="39"/>
      <c r="C124" s="40"/>
      <c r="D124" s="41"/>
    </row>
    <row r="125" spans="2:4">
      <c r="B125" s="39"/>
      <c r="C125" s="40"/>
      <c r="D125" s="41"/>
    </row>
  </sheetData>
  <mergeCells count="4">
    <mergeCell ref="B8:H8"/>
    <mergeCell ref="F9:G9"/>
    <mergeCell ref="B10:C10"/>
    <mergeCell ref="E10:F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12F-8E1E-4473-B90F-DC59D21A0C01}">
  <sheetPr codeName="Planilha10"/>
  <dimension ref="A3:AC124"/>
  <sheetViews>
    <sheetView showGridLines="0" topLeftCell="A7" zoomScale="80" zoomScaleNormal="80" workbookViewId="0">
      <selection activeCell="B10" sqref="B10"/>
    </sheetView>
  </sheetViews>
  <sheetFormatPr defaultRowHeight="14.5"/>
  <cols>
    <col min="1" max="1" width="2" customWidth="1"/>
    <col min="2" max="2" width="14" customWidth="1"/>
    <col min="3" max="3" width="31.453125" customWidth="1"/>
    <col min="4" max="4" width="15.7265625" customWidth="1"/>
    <col min="5" max="5" width="14.7265625" customWidth="1"/>
    <col min="6" max="6" width="2.26953125" customWidth="1"/>
    <col min="7" max="7" width="11.453125" customWidth="1"/>
    <col min="8" max="8" width="15" customWidth="1"/>
    <col min="9" max="9" width="36.453125" customWidth="1"/>
    <col min="10" max="10" width="14.7265625" customWidth="1"/>
    <col min="11" max="11" width="40.54296875" customWidth="1"/>
    <col min="12" max="12" width="16.7265625" customWidth="1"/>
    <col min="13" max="13" width="10.54296875" customWidth="1"/>
    <col min="14" max="14" width="17.7265625" customWidth="1"/>
    <col min="15" max="16" width="14.81640625" customWidth="1"/>
    <col min="17" max="17" width="15.54296875" customWidth="1"/>
    <col min="25" max="25" width="9.1796875" style="2"/>
    <col min="26" max="28" width="9.1796875" style="1"/>
    <col min="29" max="29" width="10.26953125" style="1" customWidth="1"/>
  </cols>
  <sheetData>
    <row r="3" spans="1:29" s="2" customFormat="1" ht="15" customHeight="1">
      <c r="A3"/>
      <c r="B3"/>
      <c r="C3" s="4"/>
      <c r="D3" s="4"/>
      <c r="E3" s="4"/>
      <c r="F3" s="25"/>
      <c r="G3" s="25"/>
      <c r="H3" s="25"/>
      <c r="I3" s="25"/>
      <c r="J3" s="25"/>
      <c r="K3" s="25"/>
      <c r="L3" s="25"/>
      <c r="M3" s="25"/>
      <c r="N3" s="25"/>
      <c r="O3" s="25"/>
      <c r="P3" s="6"/>
      <c r="Q3" s="6"/>
      <c r="R3" s="6"/>
      <c r="S3" s="5"/>
      <c r="T3" s="5"/>
      <c r="U3" s="5"/>
      <c r="V3" s="5"/>
      <c r="W3" s="5"/>
      <c r="X3"/>
      <c r="Z3" s="1"/>
      <c r="AA3" s="1"/>
      <c r="AB3" s="1"/>
      <c r="AC3" s="1"/>
    </row>
    <row r="4" spans="1:29" s="2" customFormat="1" ht="15" customHeight="1">
      <c r="A4"/>
      <c r="B4"/>
      <c r="C4" s="4"/>
      <c r="D4" s="4"/>
      <c r="E4" s="4"/>
      <c r="F4" s="26"/>
      <c r="G4" s="26"/>
      <c r="H4" s="26"/>
      <c r="I4" s="26"/>
      <c r="J4" s="26"/>
      <c r="K4" s="27"/>
      <c r="L4" s="27"/>
      <c r="M4" s="25"/>
      <c r="N4" s="28"/>
      <c r="O4" s="28"/>
      <c r="P4" s="24"/>
      <c r="Q4" s="24"/>
      <c r="R4" s="24"/>
      <c r="S4" s="5"/>
      <c r="T4" s="5"/>
      <c r="U4" s="5"/>
      <c r="V4" s="5"/>
      <c r="W4" s="5"/>
      <c r="X4"/>
      <c r="Z4" s="1"/>
      <c r="AA4" s="1"/>
      <c r="AB4" s="1"/>
      <c r="AC4" s="1"/>
    </row>
    <row r="5" spans="1:29" s="2" customFormat="1" ht="15" customHeight="1">
      <c r="A5"/>
      <c r="B5"/>
      <c r="C5" s="4"/>
      <c r="D5" s="4"/>
      <c r="E5" s="4"/>
      <c r="F5" s="26"/>
      <c r="G5" s="26"/>
      <c r="H5" s="26"/>
      <c r="I5" s="26"/>
      <c r="J5" s="26"/>
      <c r="K5" s="27"/>
      <c r="L5" s="27"/>
      <c r="M5" s="25"/>
      <c r="N5" s="28"/>
      <c r="O5" s="29"/>
      <c r="P5" s="24"/>
      <c r="Q5" s="24"/>
      <c r="R5" s="24"/>
      <c r="S5" s="5"/>
      <c r="T5" s="5"/>
      <c r="U5" s="5"/>
      <c r="V5" s="5"/>
      <c r="W5" s="5"/>
      <c r="X5"/>
      <c r="Z5" s="1"/>
      <c r="AA5" s="1"/>
      <c r="AB5" s="1"/>
      <c r="AC5" s="1"/>
    </row>
    <row r="6" spans="1:29">
      <c r="F6" s="30"/>
      <c r="G6" s="30"/>
      <c r="H6" s="30"/>
      <c r="I6" s="30"/>
      <c r="J6" s="30"/>
      <c r="K6" s="30"/>
      <c r="L6" s="30"/>
      <c r="M6" s="30"/>
      <c r="N6" s="30"/>
      <c r="O6" s="30"/>
    </row>
    <row r="7" spans="1:29" ht="15" thickBot="1"/>
    <row r="8" spans="1:29" ht="20.5" thickBot="1">
      <c r="B8" s="240" t="s">
        <v>129</v>
      </c>
      <c r="C8" s="241"/>
      <c r="D8" s="241"/>
      <c r="E8" s="242"/>
      <c r="F8" s="123"/>
      <c r="G8" s="240" t="s">
        <v>130</v>
      </c>
      <c r="H8" s="241"/>
      <c r="I8" s="241"/>
      <c r="J8" s="241"/>
      <c r="K8" s="241"/>
      <c r="L8" s="241"/>
      <c r="M8" s="241"/>
      <c r="N8" s="241"/>
      <c r="O8" s="241"/>
      <c r="P8" s="241"/>
      <c r="Q8" s="242"/>
    </row>
    <row r="9" spans="1:29" ht="12.75" customHeight="1" thickBot="1">
      <c r="C9" s="11"/>
      <c r="F9" s="243"/>
      <c r="G9" s="243"/>
      <c r="H9" s="7"/>
    </row>
    <row r="10" spans="1:29" ht="15" thickBot="1">
      <c r="B10" s="124" t="s">
        <v>105</v>
      </c>
      <c r="C10" s="125" t="s">
        <v>77</v>
      </c>
      <c r="D10" s="125" t="s">
        <v>80</v>
      </c>
      <c r="E10" s="125" t="s">
        <v>78</v>
      </c>
      <c r="F10" s="126"/>
      <c r="G10" s="127" t="s">
        <v>118</v>
      </c>
      <c r="H10" s="125" t="s">
        <v>119</v>
      </c>
      <c r="I10" s="125" t="s">
        <v>120</v>
      </c>
      <c r="J10" s="125" t="s">
        <v>121</v>
      </c>
      <c r="K10" s="125" t="s">
        <v>122</v>
      </c>
      <c r="L10" s="125" t="s">
        <v>128</v>
      </c>
      <c r="M10" s="125" t="s">
        <v>123</v>
      </c>
      <c r="N10" s="125" t="s">
        <v>125</v>
      </c>
      <c r="O10" s="125" t="s">
        <v>124</v>
      </c>
      <c r="P10" s="125" t="s">
        <v>126</v>
      </c>
      <c r="Q10" s="125" t="s">
        <v>127</v>
      </c>
    </row>
    <row r="11" spans="1:29" ht="15" customHeight="1" thickBot="1">
      <c r="B11" s="128">
        <v>2000</v>
      </c>
      <c r="C11" s="129" t="s">
        <v>30</v>
      </c>
      <c r="D11" s="130">
        <v>65</v>
      </c>
      <c r="E11" s="131" t="s">
        <v>31</v>
      </c>
      <c r="F11" s="132"/>
      <c r="G11" s="133"/>
      <c r="H11" s="134"/>
      <c r="I11" s="134"/>
      <c r="J11" s="134"/>
      <c r="K11" s="134"/>
      <c r="L11" s="134"/>
      <c r="M11" s="135"/>
      <c r="N11" s="136"/>
      <c r="O11" s="136"/>
      <c r="P11" s="137"/>
      <c r="Q11" s="138"/>
    </row>
    <row r="12" spans="1:29" s="2" customFormat="1" ht="15" customHeight="1" thickBot="1">
      <c r="A12"/>
      <c r="B12" s="139">
        <v>2001</v>
      </c>
      <c r="C12" s="140" t="s">
        <v>32</v>
      </c>
      <c r="D12" s="141">
        <v>399</v>
      </c>
      <c r="E12" s="142" t="s">
        <v>31</v>
      </c>
      <c r="F12" s="132"/>
      <c r="G12" s="133"/>
      <c r="H12" s="134"/>
      <c r="I12" s="134"/>
      <c r="J12" s="134"/>
      <c r="K12" s="134"/>
      <c r="L12" s="134"/>
      <c r="M12" s="135"/>
      <c r="N12" s="136"/>
      <c r="O12" s="136"/>
      <c r="P12" s="137"/>
      <c r="Q12" s="138"/>
      <c r="R12"/>
      <c r="S12"/>
      <c r="T12"/>
      <c r="U12"/>
      <c r="V12"/>
      <c r="W12" s="1"/>
      <c r="X12" s="1"/>
      <c r="Z12" s="1"/>
      <c r="AA12" s="1"/>
      <c r="AB12" s="1"/>
      <c r="AC12" s="1"/>
    </row>
    <row r="13" spans="1:29" s="2" customFormat="1" ht="15" customHeight="1" thickBot="1">
      <c r="A13"/>
      <c r="B13" s="139">
        <v>2002</v>
      </c>
      <c r="C13" s="140" t="s">
        <v>33</v>
      </c>
      <c r="D13" s="141">
        <v>1890</v>
      </c>
      <c r="E13" s="142" t="s">
        <v>31</v>
      </c>
      <c r="F13" s="132"/>
      <c r="G13" s="133"/>
      <c r="H13" s="134"/>
      <c r="I13" s="134"/>
      <c r="J13" s="134"/>
      <c r="K13" s="134"/>
      <c r="L13" s="134"/>
      <c r="M13" s="135"/>
      <c r="N13" s="136"/>
      <c r="O13" s="136"/>
      <c r="P13" s="137"/>
      <c r="Q13" s="138"/>
      <c r="R13"/>
      <c r="S13"/>
      <c r="T13"/>
      <c r="U13"/>
      <c r="V13"/>
      <c r="W13" s="1"/>
      <c r="X13" s="1"/>
      <c r="Z13" s="1"/>
      <c r="AA13" s="1"/>
      <c r="AB13" s="1"/>
      <c r="AC13" s="1"/>
    </row>
    <row r="14" spans="1:29" s="2" customFormat="1" ht="15" customHeight="1" thickBot="1">
      <c r="A14"/>
      <c r="B14" s="139">
        <v>2003</v>
      </c>
      <c r="C14" s="140" t="s">
        <v>34</v>
      </c>
      <c r="D14" s="141">
        <v>550</v>
      </c>
      <c r="E14" s="142" t="s">
        <v>31</v>
      </c>
      <c r="F14" s="132"/>
      <c r="G14" s="133"/>
      <c r="H14" s="134"/>
      <c r="I14" s="134"/>
      <c r="J14" s="134"/>
      <c r="K14" s="134"/>
      <c r="L14" s="134"/>
      <c r="M14" s="135"/>
      <c r="N14" s="136"/>
      <c r="O14" s="136"/>
      <c r="P14" s="137"/>
      <c r="Q14" s="138"/>
      <c r="R14"/>
      <c r="S14"/>
      <c r="T14"/>
      <c r="U14"/>
      <c r="V14"/>
      <c r="W14" s="1"/>
      <c r="X14" s="1"/>
      <c r="Z14" s="1"/>
      <c r="AA14" s="1"/>
      <c r="AB14" s="1"/>
      <c r="AC14" s="1"/>
    </row>
    <row r="15" spans="1:29" s="2" customFormat="1" ht="15" customHeight="1" thickBot="1">
      <c r="A15"/>
      <c r="B15" s="139">
        <v>2004</v>
      </c>
      <c r="C15" s="143" t="s">
        <v>35</v>
      </c>
      <c r="D15" s="141">
        <v>1499</v>
      </c>
      <c r="E15" s="142" t="s">
        <v>36</v>
      </c>
      <c r="F15" s="132"/>
      <c r="G15" s="133"/>
      <c r="H15" s="134"/>
      <c r="I15" s="134"/>
      <c r="J15" s="134"/>
      <c r="K15" s="134"/>
      <c r="L15" s="134"/>
      <c r="M15" s="135"/>
      <c r="N15" s="136"/>
      <c r="O15" s="136"/>
      <c r="P15" s="137"/>
      <c r="Q15" s="138"/>
      <c r="R15"/>
      <c r="S15"/>
      <c r="T15"/>
      <c r="U15"/>
      <c r="V15"/>
      <c r="W15" s="1"/>
      <c r="X15" s="1"/>
      <c r="Z15" s="1"/>
      <c r="AA15" s="1"/>
      <c r="AB15" s="1"/>
      <c r="AC15" s="1"/>
    </row>
    <row r="16" spans="1:29" s="2" customFormat="1" ht="15" customHeight="1" thickBot="1">
      <c r="A16"/>
      <c r="B16" s="139">
        <v>2005</v>
      </c>
      <c r="C16" s="140" t="s">
        <v>37</v>
      </c>
      <c r="D16" s="141">
        <v>125</v>
      </c>
      <c r="E16" s="142" t="s">
        <v>36</v>
      </c>
      <c r="F16" s="132"/>
      <c r="G16" s="133"/>
      <c r="H16" s="134"/>
      <c r="I16" s="134"/>
      <c r="J16" s="134"/>
      <c r="K16" s="134"/>
      <c r="L16" s="134"/>
      <c r="M16" s="135"/>
      <c r="N16" s="136"/>
      <c r="O16" s="136"/>
      <c r="P16" s="137"/>
      <c r="Q16" s="138"/>
      <c r="R16"/>
      <c r="S16"/>
      <c r="T16"/>
      <c r="U16"/>
      <c r="V16"/>
      <c r="W16" s="1"/>
      <c r="X16" s="1"/>
      <c r="Z16" s="1"/>
      <c r="AA16" s="1"/>
      <c r="AB16" s="1"/>
      <c r="AC16" s="1"/>
    </row>
    <row r="17" spans="1:29" s="2" customFormat="1" ht="15" customHeight="1" thickBot="1">
      <c r="A17"/>
      <c r="B17" s="139">
        <v>2006</v>
      </c>
      <c r="C17" s="140" t="s">
        <v>38</v>
      </c>
      <c r="D17" s="141">
        <v>29</v>
      </c>
      <c r="E17" s="142" t="s">
        <v>31</v>
      </c>
      <c r="F17" s="132"/>
      <c r="G17" s="133"/>
      <c r="H17" s="134"/>
      <c r="I17" s="134"/>
      <c r="J17" s="134"/>
      <c r="K17" s="134"/>
      <c r="L17" s="134"/>
      <c r="M17" s="135"/>
      <c r="N17" s="136"/>
      <c r="O17" s="136"/>
      <c r="P17" s="137"/>
      <c r="Q17" s="138"/>
      <c r="R17" s="1"/>
      <c r="S17" s="1"/>
      <c r="T17" s="1"/>
      <c r="U17" s="1"/>
      <c r="V17" s="1"/>
      <c r="W17" s="1"/>
      <c r="X17" s="1"/>
      <c r="Z17" s="1"/>
      <c r="AA17" s="1"/>
      <c r="AB17" s="1"/>
      <c r="AC17" s="1"/>
    </row>
    <row r="18" spans="1:29" s="2" customFormat="1" ht="15" customHeight="1" thickBot="1">
      <c r="A18"/>
      <c r="B18" s="139">
        <v>2007</v>
      </c>
      <c r="C18" s="140" t="s">
        <v>39</v>
      </c>
      <c r="D18" s="141">
        <v>3120</v>
      </c>
      <c r="E18" s="142" t="s">
        <v>31</v>
      </c>
      <c r="F18" s="132"/>
      <c r="G18" s="133"/>
      <c r="H18" s="134"/>
      <c r="I18" s="134"/>
      <c r="J18" s="134"/>
      <c r="K18" s="134"/>
      <c r="L18" s="134"/>
      <c r="M18" s="135"/>
      <c r="N18" s="136"/>
      <c r="O18" s="136"/>
      <c r="P18" s="137"/>
      <c r="Q18" s="138"/>
      <c r="R18" s="1"/>
      <c r="S18" s="1"/>
      <c r="T18" s="1"/>
      <c r="U18" s="1"/>
      <c r="V18" s="1"/>
      <c r="W18" s="1"/>
      <c r="X18" s="1"/>
      <c r="Z18" s="1"/>
      <c r="AA18" s="1"/>
      <c r="AB18" s="1"/>
      <c r="AC18" s="1"/>
    </row>
    <row r="19" spans="1:29" s="2" customFormat="1" ht="15" customHeight="1" thickBot="1">
      <c r="A19"/>
      <c r="B19" s="139">
        <v>2008</v>
      </c>
      <c r="C19" s="140" t="s">
        <v>40</v>
      </c>
      <c r="D19" s="141">
        <v>145</v>
      </c>
      <c r="E19" s="142" t="s">
        <v>31</v>
      </c>
      <c r="F19" s="132"/>
      <c r="G19" s="133"/>
      <c r="H19" s="134"/>
      <c r="I19" s="134"/>
      <c r="J19" s="134"/>
      <c r="K19" s="134"/>
      <c r="L19" s="134"/>
      <c r="M19" s="135"/>
      <c r="N19" s="136"/>
      <c r="O19" s="136"/>
      <c r="P19" s="137"/>
      <c r="Q19" s="138"/>
      <c r="R19" s="1"/>
      <c r="S19" s="1"/>
      <c r="T19" s="1"/>
      <c r="U19" s="1"/>
      <c r="V19" s="1"/>
      <c r="W19" s="1"/>
      <c r="X19" s="1"/>
      <c r="Z19" s="1"/>
      <c r="AA19" s="1"/>
      <c r="AB19" s="1"/>
      <c r="AC19" s="1"/>
    </row>
    <row r="20" spans="1:29" s="2" customFormat="1" ht="15" customHeight="1" thickBot="1">
      <c r="A20"/>
      <c r="B20" s="139">
        <v>2009</v>
      </c>
      <c r="C20" s="140" t="s">
        <v>41</v>
      </c>
      <c r="D20" s="141">
        <v>120</v>
      </c>
      <c r="E20" s="142" t="s">
        <v>31</v>
      </c>
      <c r="F20" s="132"/>
      <c r="G20" s="133"/>
      <c r="H20" s="134"/>
      <c r="I20" s="134"/>
      <c r="J20" s="134"/>
      <c r="K20" s="134"/>
      <c r="L20" s="134"/>
      <c r="M20" s="135"/>
      <c r="N20" s="136"/>
      <c r="O20" s="136"/>
      <c r="P20" s="137"/>
      <c r="Q20" s="138"/>
      <c r="R20" s="1"/>
      <c r="S20" s="1"/>
      <c r="T20" s="1"/>
      <c r="U20" s="1"/>
      <c r="V20" s="1"/>
      <c r="W20" s="1"/>
      <c r="X20" s="1"/>
      <c r="Z20" s="1"/>
      <c r="AA20" s="1"/>
      <c r="AB20" s="1"/>
      <c r="AC20" s="1"/>
    </row>
    <row r="21" spans="1:29" s="2" customFormat="1" ht="15" customHeight="1" thickBot="1">
      <c r="A21"/>
      <c r="B21" s="139">
        <v>2010</v>
      </c>
      <c r="C21" s="140" t="s">
        <v>42</v>
      </c>
      <c r="D21" s="141">
        <v>98</v>
      </c>
      <c r="E21" s="142" t="s">
        <v>31</v>
      </c>
      <c r="F21" s="132"/>
      <c r="G21" s="133"/>
      <c r="H21" s="134"/>
      <c r="I21" s="134"/>
      <c r="J21" s="134"/>
      <c r="K21" s="134"/>
      <c r="L21" s="134"/>
      <c r="M21" s="135"/>
      <c r="N21" s="136"/>
      <c r="O21" s="136"/>
      <c r="P21" s="137"/>
      <c r="Q21" s="138"/>
      <c r="R21" s="1"/>
      <c r="S21" s="1"/>
      <c r="T21" s="1"/>
      <c r="U21" s="1"/>
      <c r="V21" s="1"/>
      <c r="W21" s="1"/>
      <c r="X21" s="1"/>
      <c r="Z21" s="1"/>
      <c r="AA21" s="1"/>
      <c r="AB21" s="1"/>
      <c r="AC21" s="1"/>
    </row>
    <row r="22" spans="1:29" s="2" customFormat="1" ht="15" customHeight="1" thickBot="1">
      <c r="A22"/>
      <c r="B22" s="139">
        <v>2011</v>
      </c>
      <c r="C22" s="140" t="s">
        <v>43</v>
      </c>
      <c r="D22" s="141">
        <v>35</v>
      </c>
      <c r="E22" s="142" t="s">
        <v>31</v>
      </c>
      <c r="F22" s="132"/>
      <c r="G22" s="133"/>
      <c r="H22" s="134"/>
      <c r="I22" s="134"/>
      <c r="J22" s="134"/>
      <c r="K22" s="134"/>
      <c r="L22" s="134"/>
      <c r="M22" s="135"/>
      <c r="N22" s="136"/>
      <c r="O22" s="136"/>
      <c r="P22" s="137"/>
      <c r="Q22" s="138"/>
      <c r="R22" s="1"/>
      <c r="S22" s="1"/>
      <c r="T22" s="1"/>
      <c r="U22" s="1"/>
      <c r="V22" s="1"/>
      <c r="W22" s="1"/>
      <c r="X22" s="1"/>
      <c r="Z22" s="1"/>
      <c r="AA22" s="1"/>
      <c r="AB22" s="1"/>
      <c r="AC22" s="1"/>
    </row>
    <row r="23" spans="1:29" s="2" customFormat="1" ht="15" customHeight="1" thickBot="1">
      <c r="A23"/>
      <c r="B23" s="139">
        <v>2012</v>
      </c>
      <c r="C23" s="140" t="s">
        <v>44</v>
      </c>
      <c r="D23" s="141">
        <v>235</v>
      </c>
      <c r="E23" s="142" t="s">
        <v>45</v>
      </c>
      <c r="F23" s="132"/>
      <c r="G23" s="133"/>
      <c r="H23" s="134"/>
      <c r="I23" s="134"/>
      <c r="J23" s="134"/>
      <c r="K23" s="134"/>
      <c r="L23" s="134"/>
      <c r="M23" s="135"/>
      <c r="N23" s="136"/>
      <c r="O23" s="136"/>
      <c r="P23" s="137"/>
      <c r="Q23" s="138"/>
      <c r="R23" s="1"/>
      <c r="S23" s="1"/>
      <c r="T23" s="1"/>
      <c r="U23" s="1"/>
      <c r="V23" s="1"/>
      <c r="W23" s="1"/>
      <c r="X23" s="1"/>
      <c r="Z23" s="1"/>
      <c r="AA23" s="1"/>
      <c r="AB23" s="1"/>
      <c r="AC23" s="1"/>
    </row>
    <row r="24" spans="1:29" s="2" customFormat="1" ht="15" customHeight="1" thickBot="1">
      <c r="A24"/>
      <c r="B24" s="139">
        <v>2013</v>
      </c>
      <c r="C24" s="144" t="s">
        <v>46</v>
      </c>
      <c r="D24" s="141">
        <v>12</v>
      </c>
      <c r="E24" s="142" t="s">
        <v>36</v>
      </c>
      <c r="F24" s="132"/>
      <c r="G24" s="133"/>
      <c r="H24" s="134"/>
      <c r="I24" s="134"/>
      <c r="J24" s="134"/>
      <c r="K24" s="134"/>
      <c r="L24" s="134"/>
      <c r="M24" s="135"/>
      <c r="N24" s="136"/>
      <c r="O24" s="136"/>
      <c r="P24" s="137"/>
      <c r="Q24" s="138"/>
      <c r="R24" s="1"/>
      <c r="S24" s="1"/>
      <c r="T24" s="1"/>
      <c r="U24" s="1"/>
      <c r="V24" s="1"/>
      <c r="W24" s="1"/>
      <c r="X24" s="1"/>
      <c r="Z24" s="1"/>
      <c r="AA24" s="1"/>
      <c r="AB24" s="1"/>
      <c r="AC24" s="1"/>
    </row>
    <row r="25" spans="1:29" s="2" customFormat="1" ht="15" customHeight="1" thickBot="1">
      <c r="A25"/>
      <c r="B25" s="139">
        <v>2014</v>
      </c>
      <c r="C25" s="140" t="s">
        <v>106</v>
      </c>
      <c r="D25" s="141">
        <v>3190</v>
      </c>
      <c r="E25" s="142" t="s">
        <v>45</v>
      </c>
      <c r="F25" s="145"/>
      <c r="G25" s="133"/>
      <c r="H25" s="134"/>
      <c r="I25" s="134"/>
      <c r="J25" s="134"/>
      <c r="K25" s="134"/>
      <c r="L25" s="134"/>
      <c r="M25" s="135"/>
      <c r="N25" s="136"/>
      <c r="O25" s="136"/>
      <c r="P25" s="137"/>
      <c r="Q25" s="138"/>
      <c r="R25" s="1"/>
      <c r="S25" s="1"/>
      <c r="T25" s="1"/>
      <c r="U25" s="1"/>
      <c r="V25" s="1"/>
      <c r="W25" s="1"/>
      <c r="X25" s="1"/>
      <c r="Z25" s="1"/>
      <c r="AA25" s="1"/>
      <c r="AB25" s="1"/>
      <c r="AC25" s="1"/>
    </row>
    <row r="26" spans="1:29" s="2" customFormat="1" ht="15" customHeight="1" thickBot="1">
      <c r="A26"/>
      <c r="B26" s="139">
        <v>2015</v>
      </c>
      <c r="C26" s="143" t="s">
        <v>107</v>
      </c>
      <c r="D26" s="141">
        <v>632</v>
      </c>
      <c r="E26" s="142" t="s">
        <v>45</v>
      </c>
      <c r="F26" s="145"/>
      <c r="G26" s="133"/>
      <c r="H26" s="134"/>
      <c r="I26" s="134"/>
      <c r="J26" s="134"/>
      <c r="K26" s="134"/>
      <c r="L26" s="134"/>
      <c r="M26" s="135"/>
      <c r="N26" s="136"/>
      <c r="O26" s="136"/>
      <c r="P26" s="137"/>
      <c r="Q26" s="138"/>
      <c r="R26" s="1"/>
      <c r="S26" s="1"/>
      <c r="T26" s="1"/>
      <c r="U26" s="1"/>
      <c r="V26" s="1"/>
      <c r="W26" s="1"/>
      <c r="X26" s="1"/>
      <c r="Z26" s="1"/>
      <c r="AA26" s="1"/>
      <c r="AB26" s="1"/>
      <c r="AC26" s="1"/>
    </row>
    <row r="27" spans="1:29" s="2" customFormat="1" ht="15" customHeight="1" thickBot="1">
      <c r="A27"/>
      <c r="B27" s="139">
        <v>2016</v>
      </c>
      <c r="C27" s="140" t="s">
        <v>108</v>
      </c>
      <c r="D27" s="141">
        <v>587</v>
      </c>
      <c r="E27" s="142" t="s">
        <v>45</v>
      </c>
      <c r="F27" s="145"/>
      <c r="G27" s="133"/>
      <c r="H27" s="134"/>
      <c r="I27" s="134"/>
      <c r="J27" s="134"/>
      <c r="K27" s="134"/>
      <c r="L27" s="134"/>
      <c r="M27" s="135"/>
      <c r="N27" s="136"/>
      <c r="O27" s="136"/>
      <c r="P27" s="137"/>
      <c r="Q27" s="138"/>
      <c r="R27" s="1"/>
      <c r="S27" s="1"/>
      <c r="T27" s="1"/>
      <c r="U27" s="1"/>
      <c r="V27" s="1"/>
      <c r="W27" s="1"/>
      <c r="X27" s="1"/>
      <c r="Z27" s="1"/>
      <c r="AA27" s="1"/>
      <c r="AB27" s="1"/>
      <c r="AC27" s="1"/>
    </row>
    <row r="28" spans="1:29" s="2" customFormat="1" ht="15" customHeight="1" thickBot="1">
      <c r="A28"/>
      <c r="B28" s="139">
        <v>2017</v>
      </c>
      <c r="C28" s="140" t="s">
        <v>109</v>
      </c>
      <c r="D28" s="141">
        <v>899</v>
      </c>
      <c r="E28" s="142" t="s">
        <v>36</v>
      </c>
      <c r="F28" s="146"/>
      <c r="G28" s="133"/>
      <c r="H28" s="134"/>
      <c r="I28" s="134"/>
      <c r="J28" s="134"/>
      <c r="K28" s="134"/>
      <c r="L28" s="134"/>
      <c r="M28" s="135"/>
      <c r="N28" s="136"/>
      <c r="O28" s="136"/>
      <c r="P28" s="137"/>
      <c r="Q28" s="138"/>
      <c r="R28" s="1"/>
      <c r="S28" s="1"/>
      <c r="T28" s="1"/>
      <c r="U28" s="1"/>
      <c r="V28" s="1"/>
      <c r="W28" s="1"/>
      <c r="X28" s="1"/>
      <c r="Z28" s="1"/>
      <c r="AA28" s="1"/>
      <c r="AB28" s="1"/>
      <c r="AC28" s="1"/>
    </row>
    <row r="29" spans="1:29" s="2" customFormat="1" ht="15" customHeight="1" thickBot="1">
      <c r="A29"/>
      <c r="B29" s="139">
        <v>2018</v>
      </c>
      <c r="C29" s="140" t="s">
        <v>110</v>
      </c>
      <c r="D29" s="141">
        <v>190</v>
      </c>
      <c r="E29" s="142" t="s">
        <v>45</v>
      </c>
      <c r="F29" s="147"/>
      <c r="G29" s="133"/>
      <c r="H29" s="134"/>
      <c r="I29" s="134"/>
      <c r="J29" s="134"/>
      <c r="K29" s="134"/>
      <c r="L29" s="134"/>
      <c r="M29" s="135"/>
      <c r="N29" s="136"/>
      <c r="O29" s="136"/>
      <c r="P29" s="137"/>
      <c r="Q29" s="138"/>
      <c r="R29" s="1"/>
      <c r="S29" s="1"/>
      <c r="T29" s="1"/>
      <c r="U29" s="1"/>
      <c r="V29" s="1"/>
      <c r="W29" s="1"/>
      <c r="X29" s="1"/>
      <c r="Z29" s="1"/>
      <c r="AA29" s="1"/>
      <c r="AB29" s="1"/>
      <c r="AC29" s="1"/>
    </row>
    <row r="30" spans="1:29" s="2" customFormat="1" ht="15" customHeight="1" thickBot="1">
      <c r="A30"/>
      <c r="B30" s="139">
        <v>2019</v>
      </c>
      <c r="C30" s="140" t="s">
        <v>111</v>
      </c>
      <c r="D30" s="141">
        <v>115</v>
      </c>
      <c r="E30" s="142" t="s">
        <v>31</v>
      </c>
      <c r="F30" s="147"/>
      <c r="G30" s="133"/>
      <c r="H30" s="134"/>
      <c r="I30" s="134"/>
      <c r="J30" s="134"/>
      <c r="K30" s="134"/>
      <c r="L30" s="134"/>
      <c r="M30" s="135"/>
      <c r="N30" s="136"/>
      <c r="O30" s="136"/>
      <c r="P30" s="137"/>
      <c r="Q30" s="138"/>
      <c r="R30" s="1"/>
      <c r="S30" s="1"/>
      <c r="T30" s="1"/>
      <c r="U30" s="1"/>
      <c r="V30" s="1"/>
      <c r="W30" s="1"/>
      <c r="X30" s="1"/>
      <c r="Z30" s="1"/>
      <c r="AA30" s="1"/>
      <c r="AB30" s="1"/>
      <c r="AC30" s="1"/>
    </row>
    <row r="31" spans="1:29" s="2" customFormat="1" ht="15" customHeight="1" thickBot="1">
      <c r="A31"/>
      <c r="B31" s="139">
        <v>2020</v>
      </c>
      <c r="C31" s="143" t="s">
        <v>112</v>
      </c>
      <c r="D31" s="148">
        <v>15</v>
      </c>
      <c r="E31" s="142" t="s">
        <v>36</v>
      </c>
      <c r="F31" s="147"/>
      <c r="G31" s="133"/>
      <c r="H31" s="134"/>
      <c r="I31" s="134"/>
      <c r="J31" s="134"/>
      <c r="K31" s="134"/>
      <c r="L31" s="134"/>
      <c r="M31" s="135"/>
      <c r="N31" s="136"/>
      <c r="O31" s="136"/>
      <c r="P31" s="137"/>
      <c r="Q31" s="138"/>
      <c r="R31" s="1"/>
      <c r="S31" s="1"/>
      <c r="T31" s="1"/>
      <c r="U31" s="1"/>
      <c r="V31" s="1"/>
      <c r="W31" s="1"/>
      <c r="X31" s="1"/>
      <c r="Z31" s="1"/>
      <c r="AA31" s="1"/>
      <c r="AB31" s="1"/>
      <c r="AC31" s="1"/>
    </row>
    <row r="32" spans="1:29" s="2" customFormat="1" ht="15" customHeight="1" thickBot="1">
      <c r="A32"/>
      <c r="B32" s="139">
        <v>2021</v>
      </c>
      <c r="C32" s="143" t="s">
        <v>113</v>
      </c>
      <c r="D32" s="148">
        <v>10</v>
      </c>
      <c r="E32" s="142" t="s">
        <v>36</v>
      </c>
      <c r="F32" s="147"/>
      <c r="G32" s="133"/>
      <c r="H32" s="134"/>
      <c r="I32" s="134"/>
      <c r="J32" s="134"/>
      <c r="K32" s="134"/>
      <c r="L32" s="134"/>
      <c r="M32" s="135"/>
      <c r="N32" s="136"/>
      <c r="O32" s="136"/>
      <c r="P32" s="137"/>
      <c r="Q32" s="138"/>
      <c r="R32" s="1"/>
      <c r="S32" s="1"/>
      <c r="T32" s="1"/>
      <c r="U32" s="1"/>
      <c r="V32" s="1"/>
      <c r="W32" s="1"/>
      <c r="X32" s="1"/>
      <c r="Z32" s="1"/>
      <c r="AA32" s="1"/>
      <c r="AB32" s="1"/>
      <c r="AC32" s="1"/>
    </row>
    <row r="33" spans="1:29" s="2" customFormat="1" ht="15" customHeight="1" thickBot="1">
      <c r="A33"/>
      <c r="B33" s="139">
        <v>2022</v>
      </c>
      <c r="C33" s="144" t="s">
        <v>114</v>
      </c>
      <c r="D33" s="148">
        <v>3890</v>
      </c>
      <c r="E33" s="142" t="s">
        <v>45</v>
      </c>
      <c r="F33" s="147"/>
      <c r="G33" s="133"/>
      <c r="H33" s="134"/>
      <c r="I33" s="134"/>
      <c r="J33" s="134"/>
      <c r="K33" s="134"/>
      <c r="L33" s="134"/>
      <c r="M33" s="135"/>
      <c r="N33" s="136"/>
      <c r="O33" s="136"/>
      <c r="P33" s="137"/>
      <c r="Q33" s="138"/>
      <c r="R33" s="1"/>
      <c r="S33" s="1"/>
      <c r="T33" s="1"/>
      <c r="U33" s="1"/>
      <c r="V33" s="1"/>
      <c r="W33" s="1"/>
      <c r="X33" s="1"/>
      <c r="Z33" s="1"/>
      <c r="AA33" s="1"/>
      <c r="AB33" s="1"/>
      <c r="AC33" s="1"/>
    </row>
    <row r="34" spans="1:29" s="1" customFormat="1" ht="15" customHeight="1" thickBot="1">
      <c r="B34" s="139">
        <v>2023</v>
      </c>
      <c r="C34" s="143" t="s">
        <v>115</v>
      </c>
      <c r="D34" s="148">
        <v>180</v>
      </c>
      <c r="E34" s="142" t="s">
        <v>31</v>
      </c>
      <c r="F34" s="147"/>
      <c r="G34" s="133"/>
      <c r="H34" s="134"/>
      <c r="I34" s="134"/>
      <c r="J34" s="134"/>
      <c r="K34" s="134"/>
      <c r="L34" s="134"/>
      <c r="M34" s="135"/>
      <c r="N34" s="136"/>
      <c r="O34" s="136"/>
      <c r="P34" s="137"/>
      <c r="Q34" s="138"/>
      <c r="Y34" s="2"/>
    </row>
    <row r="35" spans="1:29" s="1" customFormat="1" ht="15" customHeight="1" thickBot="1">
      <c r="B35" s="139">
        <v>2024</v>
      </c>
      <c r="C35" s="143" t="s">
        <v>116</v>
      </c>
      <c r="D35" s="148">
        <v>660</v>
      </c>
      <c r="E35" s="142" t="s">
        <v>36</v>
      </c>
      <c r="F35" s="147"/>
      <c r="G35" s="133"/>
      <c r="H35" s="134"/>
      <c r="I35" s="134"/>
      <c r="J35" s="134"/>
      <c r="K35" s="134"/>
      <c r="L35" s="134"/>
      <c r="M35" s="135"/>
      <c r="N35" s="136"/>
      <c r="O35" s="136"/>
      <c r="P35" s="137"/>
      <c r="Q35" s="138"/>
      <c r="Y35" s="2"/>
    </row>
    <row r="36" spans="1:29" s="1" customFormat="1" ht="15" customHeight="1" thickBot="1">
      <c r="B36" s="149">
        <v>2025</v>
      </c>
      <c r="C36" s="150" t="s">
        <v>117</v>
      </c>
      <c r="D36" s="151">
        <v>899</v>
      </c>
      <c r="E36" s="152" t="s">
        <v>45</v>
      </c>
      <c r="F36" s="147"/>
      <c r="G36" s="133"/>
      <c r="H36" s="134"/>
      <c r="I36" s="134"/>
      <c r="J36" s="134"/>
      <c r="K36" s="134"/>
      <c r="L36" s="134"/>
      <c r="M36" s="135"/>
      <c r="N36" s="136"/>
      <c r="O36" s="136"/>
      <c r="P36" s="137"/>
      <c r="Q36" s="138"/>
      <c r="Y36" s="2"/>
    </row>
    <row r="37" spans="1:29" s="1" customFormat="1">
      <c r="B37" s="39"/>
      <c r="C37" s="40"/>
      <c r="D37" s="41"/>
      <c r="Y37" s="2"/>
    </row>
    <row r="38" spans="1:29">
      <c r="B38" s="39"/>
      <c r="C38" s="40"/>
      <c r="D38" s="41"/>
    </row>
    <row r="39" spans="1:29">
      <c r="B39" s="39"/>
      <c r="C39" s="40"/>
      <c r="D39" s="42"/>
    </row>
    <row r="40" spans="1:29">
      <c r="B40" s="39"/>
      <c r="C40" s="40"/>
      <c r="D40" s="41"/>
    </row>
    <row r="41" spans="1:29">
      <c r="B41" s="39"/>
      <c r="C41" s="40"/>
      <c r="D41" s="41"/>
    </row>
    <row r="42" spans="1:29">
      <c r="B42" s="39"/>
      <c r="C42" s="40"/>
      <c r="D42" s="41"/>
    </row>
    <row r="43" spans="1:29">
      <c r="B43" s="39"/>
      <c r="C43" s="40"/>
      <c r="D43" s="41"/>
    </row>
    <row r="44" spans="1:29">
      <c r="B44" s="39"/>
      <c r="C44" s="40"/>
      <c r="D44" s="41"/>
    </row>
    <row r="45" spans="1:29">
      <c r="B45" s="39"/>
      <c r="C45" s="40"/>
      <c r="D45" s="41"/>
    </row>
    <row r="46" spans="1:29">
      <c r="B46" s="39"/>
      <c r="C46" s="40"/>
      <c r="D46" s="41"/>
    </row>
    <row r="47" spans="1:29">
      <c r="B47" s="39"/>
      <c r="C47" s="40"/>
      <c r="D47" s="41"/>
    </row>
    <row r="48" spans="1:29">
      <c r="B48" s="39"/>
      <c r="C48" s="40"/>
      <c r="D48" s="41"/>
    </row>
    <row r="49" spans="2:4">
      <c r="B49" s="39"/>
      <c r="C49" s="40"/>
      <c r="D49" s="41"/>
    </row>
    <row r="50" spans="2:4">
      <c r="B50" s="39"/>
      <c r="C50" s="40"/>
      <c r="D50" s="41"/>
    </row>
    <row r="51" spans="2:4">
      <c r="B51" s="39"/>
      <c r="C51" s="40"/>
      <c r="D51" s="41"/>
    </row>
    <row r="52" spans="2:4">
      <c r="B52" s="39"/>
      <c r="C52" s="40"/>
      <c r="D52" s="41"/>
    </row>
    <row r="53" spans="2:4">
      <c r="B53" s="39"/>
      <c r="C53" s="40"/>
      <c r="D53" s="41"/>
    </row>
    <row r="54" spans="2:4">
      <c r="B54" s="39"/>
      <c r="C54" s="40"/>
      <c r="D54" s="41"/>
    </row>
    <row r="55" spans="2:4">
      <c r="B55" s="39"/>
      <c r="C55" s="40"/>
      <c r="D55" s="41"/>
    </row>
    <row r="56" spans="2:4">
      <c r="B56" s="39"/>
      <c r="C56" s="40"/>
      <c r="D56" s="41"/>
    </row>
    <row r="57" spans="2:4">
      <c r="B57" s="39"/>
      <c r="C57" s="40"/>
      <c r="D57" s="41"/>
    </row>
    <row r="58" spans="2:4">
      <c r="B58" s="39"/>
      <c r="C58" s="40"/>
      <c r="D58" s="41"/>
    </row>
    <row r="59" spans="2:4">
      <c r="B59" s="39"/>
      <c r="C59" s="40"/>
      <c r="D59" s="41"/>
    </row>
    <row r="60" spans="2:4">
      <c r="B60" s="39"/>
      <c r="C60" s="40"/>
      <c r="D60" s="41"/>
    </row>
    <row r="61" spans="2:4">
      <c r="B61" s="39"/>
      <c r="C61" s="40"/>
      <c r="D61" s="41"/>
    </row>
    <row r="62" spans="2:4">
      <c r="B62" s="39"/>
      <c r="C62" s="40"/>
      <c r="D62" s="41"/>
    </row>
    <row r="63" spans="2:4">
      <c r="B63" s="39"/>
      <c r="C63" s="40"/>
      <c r="D63" s="41"/>
    </row>
    <row r="64" spans="2:4">
      <c r="B64" s="39"/>
      <c r="C64" s="40"/>
      <c r="D64" s="41"/>
    </row>
    <row r="65" spans="2:4">
      <c r="B65" s="39"/>
      <c r="C65" s="40"/>
      <c r="D65" s="41"/>
    </row>
    <row r="66" spans="2:4">
      <c r="B66" s="39"/>
      <c r="C66" s="40"/>
      <c r="D66" s="41"/>
    </row>
    <row r="67" spans="2:4">
      <c r="B67" s="39"/>
      <c r="C67" s="40"/>
      <c r="D67" s="41"/>
    </row>
    <row r="68" spans="2:4">
      <c r="B68" s="39"/>
      <c r="C68" s="40"/>
      <c r="D68" s="41"/>
    </row>
    <row r="69" spans="2:4">
      <c r="B69" s="39"/>
      <c r="C69" s="40"/>
      <c r="D69" s="41"/>
    </row>
    <row r="70" spans="2:4">
      <c r="B70" s="39"/>
      <c r="C70" s="40"/>
      <c r="D70" s="41"/>
    </row>
    <row r="71" spans="2:4">
      <c r="B71" s="39"/>
      <c r="C71" s="40"/>
      <c r="D71" s="41"/>
    </row>
    <row r="72" spans="2:4">
      <c r="B72" s="39"/>
      <c r="C72" s="40"/>
      <c r="D72" s="41"/>
    </row>
    <row r="73" spans="2:4">
      <c r="B73" s="39"/>
      <c r="C73" s="40"/>
      <c r="D73" s="41"/>
    </row>
    <row r="74" spans="2:4">
      <c r="B74" s="39"/>
      <c r="C74" s="40"/>
      <c r="D74" s="41"/>
    </row>
    <row r="75" spans="2:4">
      <c r="B75" s="39"/>
      <c r="C75" s="40"/>
      <c r="D75" s="41"/>
    </row>
    <row r="76" spans="2:4">
      <c r="B76" s="39"/>
      <c r="C76" s="40"/>
      <c r="D76" s="41"/>
    </row>
    <row r="77" spans="2:4">
      <c r="B77" s="39"/>
      <c r="C77" s="40"/>
      <c r="D77" s="41"/>
    </row>
    <row r="78" spans="2:4">
      <c r="B78" s="39"/>
      <c r="C78" s="40"/>
      <c r="D78" s="41"/>
    </row>
    <row r="79" spans="2:4">
      <c r="B79" s="39"/>
      <c r="C79" s="40"/>
      <c r="D79" s="41"/>
    </row>
    <row r="80" spans="2:4">
      <c r="B80" s="39"/>
      <c r="C80" s="40"/>
      <c r="D80" s="41"/>
    </row>
    <row r="81" spans="2:4">
      <c r="B81" s="39"/>
      <c r="C81" s="40"/>
      <c r="D81" s="42"/>
    </row>
    <row r="82" spans="2:4">
      <c r="B82" s="39"/>
      <c r="C82" s="40"/>
      <c r="D82" s="42"/>
    </row>
    <row r="83" spans="2:4">
      <c r="B83" s="39"/>
      <c r="C83" s="40"/>
      <c r="D83" s="41"/>
    </row>
    <row r="84" spans="2:4">
      <c r="B84" s="39"/>
      <c r="C84" s="40"/>
      <c r="D84" s="41"/>
    </row>
    <row r="85" spans="2:4">
      <c r="B85" s="39"/>
      <c r="C85" s="40"/>
      <c r="D85" s="41"/>
    </row>
    <row r="86" spans="2:4">
      <c r="B86" s="39"/>
      <c r="C86" s="40"/>
      <c r="D86" s="41"/>
    </row>
    <row r="87" spans="2:4">
      <c r="B87" s="39"/>
      <c r="C87" s="40"/>
      <c r="D87" s="41"/>
    </row>
    <row r="88" spans="2:4">
      <c r="B88" s="39"/>
      <c r="C88" s="40"/>
      <c r="D88" s="41"/>
    </row>
    <row r="89" spans="2:4">
      <c r="B89" s="39"/>
      <c r="C89" s="40"/>
      <c r="D89" s="41"/>
    </row>
    <row r="90" spans="2:4">
      <c r="B90" s="39"/>
      <c r="C90" s="40"/>
      <c r="D90" s="41"/>
    </row>
    <row r="91" spans="2:4">
      <c r="B91" s="39"/>
      <c r="C91" s="40"/>
      <c r="D91" s="41"/>
    </row>
    <row r="92" spans="2:4">
      <c r="B92" s="39"/>
      <c r="C92" s="40"/>
      <c r="D92" s="41"/>
    </row>
    <row r="93" spans="2:4">
      <c r="B93" s="39"/>
      <c r="C93" s="40"/>
      <c r="D93" s="41"/>
    </row>
    <row r="94" spans="2:4">
      <c r="B94" s="39"/>
      <c r="C94" s="40"/>
      <c r="D94" s="42"/>
    </row>
    <row r="95" spans="2:4">
      <c r="B95" s="39"/>
      <c r="C95" s="40"/>
      <c r="D95" s="42"/>
    </row>
    <row r="96" spans="2:4">
      <c r="B96" s="39"/>
      <c r="C96" s="40"/>
      <c r="D96" s="42"/>
    </row>
    <row r="97" spans="2:28">
      <c r="B97" s="39"/>
      <c r="C97" s="40"/>
      <c r="D97" s="41"/>
    </row>
    <row r="98" spans="2:28">
      <c r="B98" s="39"/>
      <c r="C98" s="40"/>
      <c r="D98" s="41"/>
    </row>
    <row r="99" spans="2:28">
      <c r="B99" s="39"/>
      <c r="C99" s="40"/>
      <c r="D99" s="41"/>
      <c r="Z99" s="31" t="s">
        <v>48</v>
      </c>
      <c r="AA99"/>
      <c r="AB99"/>
    </row>
    <row r="100" spans="2:28">
      <c r="B100" s="39"/>
      <c r="C100" s="40"/>
      <c r="D100" s="41"/>
      <c r="Z100" s="31" t="s">
        <v>22</v>
      </c>
      <c r="AA100"/>
      <c r="AB100"/>
    </row>
    <row r="101" spans="2:28">
      <c r="B101" s="39"/>
      <c r="C101" s="40"/>
      <c r="D101" s="41"/>
    </row>
    <row r="102" spans="2:28">
      <c r="B102" s="39"/>
      <c r="C102" s="40"/>
      <c r="D102" s="41"/>
    </row>
    <row r="103" spans="2:28">
      <c r="B103" s="39"/>
      <c r="C103" s="40"/>
      <c r="D103" s="41"/>
    </row>
    <row r="104" spans="2:28">
      <c r="B104" s="39"/>
      <c r="C104" s="40"/>
      <c r="D104" s="41"/>
    </row>
    <row r="105" spans="2:28">
      <c r="B105" s="39"/>
      <c r="C105" s="40"/>
      <c r="D105" s="41"/>
    </row>
    <row r="106" spans="2:28">
      <c r="B106" s="39"/>
      <c r="C106" s="40"/>
      <c r="D106" s="41"/>
    </row>
    <row r="107" spans="2:28">
      <c r="B107" s="39"/>
      <c r="C107" s="40"/>
      <c r="D107" s="41"/>
    </row>
    <row r="108" spans="2:28">
      <c r="B108" s="39"/>
      <c r="C108" s="40"/>
      <c r="D108" s="41"/>
    </row>
    <row r="109" spans="2:28">
      <c r="B109" s="39"/>
      <c r="C109" s="40"/>
      <c r="D109" s="41"/>
    </row>
    <row r="110" spans="2:28">
      <c r="B110" s="39"/>
      <c r="C110" s="40"/>
      <c r="D110" s="41"/>
    </row>
    <row r="111" spans="2:28">
      <c r="B111" s="39"/>
      <c r="C111" s="40"/>
      <c r="D111" s="41"/>
    </row>
    <row r="112" spans="2:28">
      <c r="B112" s="39"/>
      <c r="C112" s="40"/>
      <c r="D112" s="41"/>
    </row>
    <row r="113" spans="2:4">
      <c r="B113" s="39"/>
      <c r="C113" s="40"/>
      <c r="D113" s="41"/>
    </row>
    <row r="114" spans="2:4">
      <c r="B114" s="39"/>
      <c r="C114" s="40"/>
      <c r="D114" s="41"/>
    </row>
    <row r="115" spans="2:4">
      <c r="B115" s="39"/>
      <c r="C115" s="40"/>
      <c r="D115" s="41"/>
    </row>
    <row r="116" spans="2:4">
      <c r="B116" s="39"/>
      <c r="C116" s="40"/>
      <c r="D116" s="42"/>
    </row>
    <row r="117" spans="2:4">
      <c r="B117" s="39"/>
      <c r="C117" s="40"/>
      <c r="D117" s="41"/>
    </row>
    <row r="118" spans="2:4">
      <c r="B118" s="39"/>
      <c r="C118" s="40"/>
      <c r="D118" s="41"/>
    </row>
    <row r="119" spans="2:4">
      <c r="B119" s="39"/>
      <c r="C119" s="40"/>
      <c r="D119" s="41"/>
    </row>
    <row r="120" spans="2:4">
      <c r="B120" s="39"/>
      <c r="C120" s="40"/>
      <c r="D120" s="41"/>
    </row>
    <row r="121" spans="2:4">
      <c r="B121" s="39"/>
      <c r="C121" s="40"/>
      <c r="D121" s="41"/>
    </row>
    <row r="122" spans="2:4">
      <c r="B122" s="39"/>
      <c r="C122" s="40"/>
      <c r="D122" s="41"/>
    </row>
    <row r="123" spans="2:4">
      <c r="B123" s="39"/>
      <c r="C123" s="40"/>
      <c r="D123" s="41"/>
    </row>
    <row r="124" spans="2:4">
      <c r="B124" s="39"/>
      <c r="C124" s="40"/>
      <c r="D124" s="41"/>
    </row>
  </sheetData>
  <mergeCells count="3">
    <mergeCell ref="F9:G9"/>
    <mergeCell ref="B8:E8"/>
    <mergeCell ref="G8:Q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9913D-E334-4696-86CD-AD4AB87DEC1A}">
  <sheetPr codeName="plan_cad_contas"/>
  <dimension ref="A3:AE125"/>
  <sheetViews>
    <sheetView showGridLines="0" topLeftCell="A7" zoomScale="80" zoomScaleNormal="80" workbookViewId="0">
      <selection activeCell="G12" sqref="G12"/>
    </sheetView>
  </sheetViews>
  <sheetFormatPr defaultRowHeight="14.5"/>
  <cols>
    <col min="1" max="1" width="2" customWidth="1"/>
    <col min="2" max="2" width="14" customWidth="1"/>
    <col min="3" max="3" width="24.54296875" customWidth="1"/>
    <col min="4" max="4" width="36.54296875" customWidth="1"/>
    <col min="5" max="6" width="15.7265625" customWidth="1"/>
    <col min="7" max="7" width="14.7265625" customWidth="1"/>
    <col min="8" max="8" width="2.26953125" customWidth="1"/>
    <col min="16" max="16" width="8.7265625" style="2"/>
    <col min="17" max="19" width="8.7265625" style="1"/>
    <col min="20" max="20" width="10.26953125" style="1" customWidth="1"/>
  </cols>
  <sheetData>
    <row r="3" spans="1:20" s="2" customFormat="1" ht="15" customHeight="1">
      <c r="A3"/>
      <c r="B3"/>
      <c r="C3" s="4"/>
      <c r="D3" s="4"/>
      <c r="E3" s="4"/>
      <c r="F3" s="4"/>
      <c r="G3" s="4"/>
      <c r="H3" s="25"/>
      <c r="I3" s="6"/>
      <c r="J3" s="5"/>
      <c r="K3" s="5"/>
      <c r="L3" s="5"/>
      <c r="M3" s="5"/>
      <c r="N3" s="5"/>
      <c r="O3"/>
      <c r="Q3" s="1"/>
      <c r="R3" s="1"/>
      <c r="S3" s="1"/>
      <c r="T3" s="1"/>
    </row>
    <row r="4" spans="1:20" s="2" customFormat="1" ht="15" customHeight="1">
      <c r="A4"/>
      <c r="B4"/>
      <c r="C4" s="4"/>
      <c r="D4" s="4"/>
      <c r="E4" s="4"/>
      <c r="F4" s="4"/>
      <c r="G4" s="4"/>
      <c r="H4" s="26"/>
      <c r="I4" s="24"/>
      <c r="J4" s="5"/>
      <c r="K4" s="5"/>
      <c r="L4" s="5"/>
      <c r="M4" s="5"/>
      <c r="N4" s="5"/>
      <c r="O4"/>
      <c r="Q4" s="1"/>
      <c r="R4" s="1"/>
      <c r="S4" s="1"/>
      <c r="T4" s="1"/>
    </row>
    <row r="5" spans="1:20" s="2" customFormat="1" ht="15" customHeight="1">
      <c r="A5"/>
      <c r="B5"/>
      <c r="C5" s="4"/>
      <c r="D5" s="4"/>
      <c r="E5" s="4"/>
      <c r="F5" s="4"/>
      <c r="G5" s="4"/>
      <c r="H5" s="26"/>
      <c r="I5" s="24"/>
      <c r="J5" s="5"/>
      <c r="K5" s="5"/>
      <c r="L5" s="5"/>
      <c r="M5" s="5"/>
      <c r="N5" s="5"/>
      <c r="O5"/>
      <c r="Q5" s="1"/>
      <c r="R5" s="1"/>
      <c r="S5" s="1"/>
      <c r="T5" s="1"/>
    </row>
    <row r="6" spans="1:20">
      <c r="H6" s="30"/>
    </row>
    <row r="7" spans="1:20" ht="15" thickBot="1"/>
    <row r="8" spans="1:20" ht="20.5" thickBot="1">
      <c r="B8" s="240" t="s">
        <v>159</v>
      </c>
      <c r="C8" s="241"/>
      <c r="D8" s="241"/>
      <c r="E8" s="241"/>
      <c r="F8" s="241"/>
      <c r="G8" s="242"/>
      <c r="H8" s="123"/>
    </row>
    <row r="9" spans="1:20" ht="12.75" customHeight="1">
      <c r="C9" s="11"/>
      <c r="H9" s="162"/>
    </row>
    <row r="10" spans="1:20" ht="12.75" customHeight="1" thickBot="1">
      <c r="C10" s="11"/>
      <c r="H10" s="162"/>
    </row>
    <row r="11" spans="1:20" ht="15" thickBot="1">
      <c r="B11" s="124" t="s">
        <v>153</v>
      </c>
      <c r="C11" s="125" t="s">
        <v>154</v>
      </c>
      <c r="D11" s="125" t="s">
        <v>155</v>
      </c>
      <c r="E11" s="125" t="s">
        <v>156</v>
      </c>
      <c r="F11" s="125" t="s">
        <v>157</v>
      </c>
      <c r="G11" s="125" t="s">
        <v>158</v>
      </c>
      <c r="H11" s="126"/>
    </row>
    <row r="12" spans="1:20" ht="15" customHeight="1">
      <c r="B12" s="128">
        <v>2</v>
      </c>
      <c r="C12" s="129" t="s">
        <v>160</v>
      </c>
      <c r="D12" s="130" t="s">
        <v>161</v>
      </c>
      <c r="E12" s="163" t="s">
        <v>162</v>
      </c>
      <c r="F12" s="163" t="s">
        <v>163</v>
      </c>
      <c r="G12" s="246" t="s">
        <v>164</v>
      </c>
      <c r="H12" s="132"/>
    </row>
    <row r="13" spans="1:20" s="2" customFormat="1" ht="15" customHeight="1">
      <c r="A13"/>
      <c r="B13" s="139">
        <v>3</v>
      </c>
      <c r="C13" s="140" t="s">
        <v>165</v>
      </c>
      <c r="D13" s="141" t="s">
        <v>166</v>
      </c>
      <c r="E13" s="164" t="s">
        <v>162</v>
      </c>
      <c r="F13" s="164" t="s">
        <v>163</v>
      </c>
      <c r="G13" s="247" t="s">
        <v>167</v>
      </c>
      <c r="H13" s="132"/>
      <c r="I13"/>
      <c r="J13"/>
      <c r="K13"/>
      <c r="L13"/>
      <c r="M13"/>
      <c r="N13" s="1"/>
      <c r="O13" s="1"/>
      <c r="Q13" s="1"/>
      <c r="R13" s="1"/>
      <c r="S13" s="1"/>
      <c r="T13" s="1"/>
    </row>
    <row r="14" spans="1:20" s="2" customFormat="1" ht="15" customHeight="1">
      <c r="A14"/>
      <c r="B14" s="139"/>
      <c r="C14" s="140"/>
      <c r="D14" s="141"/>
      <c r="E14" s="164"/>
      <c r="F14" s="164"/>
      <c r="G14" s="142"/>
      <c r="H14" s="132"/>
      <c r="I14"/>
      <c r="J14"/>
      <c r="K14"/>
      <c r="L14"/>
      <c r="M14"/>
      <c r="N14" s="1"/>
      <c r="O14" s="1"/>
      <c r="Q14" s="1"/>
      <c r="R14" s="1"/>
      <c r="S14" s="1"/>
      <c r="T14" s="1"/>
    </row>
    <row r="15" spans="1:20" s="2" customFormat="1" ht="15" customHeight="1">
      <c r="A15"/>
      <c r="B15" s="139"/>
      <c r="C15" s="140"/>
      <c r="D15" s="141"/>
      <c r="E15" s="164"/>
      <c r="F15" s="164"/>
      <c r="G15" s="142"/>
      <c r="H15" s="132"/>
      <c r="I15"/>
      <c r="J15"/>
      <c r="K15"/>
      <c r="L15"/>
      <c r="M15"/>
      <c r="N15" s="1"/>
      <c r="O15" s="1"/>
      <c r="Q15" s="1"/>
      <c r="R15" s="1"/>
      <c r="S15" s="1"/>
      <c r="T15" s="1"/>
    </row>
    <row r="16" spans="1:20" s="2" customFormat="1" ht="15" customHeight="1">
      <c r="A16"/>
      <c r="B16" s="139"/>
      <c r="C16" s="143"/>
      <c r="D16" s="141"/>
      <c r="E16" s="164"/>
      <c r="F16" s="164"/>
      <c r="G16" s="142"/>
      <c r="H16" s="132"/>
      <c r="I16"/>
      <c r="J16"/>
      <c r="K16"/>
      <c r="L16"/>
      <c r="M16"/>
      <c r="N16" s="1"/>
      <c r="O16" s="1"/>
      <c r="Q16" s="1"/>
      <c r="R16" s="1"/>
      <c r="S16" s="1"/>
      <c r="T16" s="1"/>
    </row>
    <row r="17" spans="1:20" s="2" customFormat="1" ht="15" customHeight="1">
      <c r="A17"/>
      <c r="B17" s="139"/>
      <c r="C17" s="140"/>
      <c r="D17" s="141"/>
      <c r="E17" s="164"/>
      <c r="F17" s="164"/>
      <c r="G17" s="142"/>
      <c r="H17" s="132"/>
      <c r="I17"/>
      <c r="J17"/>
      <c r="K17"/>
      <c r="L17"/>
      <c r="M17"/>
      <c r="N17" s="1"/>
      <c r="O17" s="1"/>
      <c r="Q17" s="1"/>
      <c r="R17" s="1"/>
      <c r="S17" s="1"/>
      <c r="T17" s="1"/>
    </row>
    <row r="18" spans="1:20" s="2" customFormat="1" ht="15" customHeight="1">
      <c r="A18"/>
      <c r="B18" s="139"/>
      <c r="C18" s="140"/>
      <c r="D18" s="141"/>
      <c r="E18" s="164"/>
      <c r="F18" s="164"/>
      <c r="G18" s="142"/>
      <c r="H18" s="132"/>
      <c r="I18" s="1"/>
      <c r="J18" s="1"/>
      <c r="K18" s="1"/>
      <c r="L18" s="1"/>
      <c r="M18" s="1"/>
      <c r="N18" s="1"/>
      <c r="O18" s="1"/>
      <c r="Q18" s="1"/>
      <c r="R18" s="1"/>
      <c r="S18" s="1"/>
      <c r="T18" s="1"/>
    </row>
    <row r="19" spans="1:20" s="2" customFormat="1" ht="15" customHeight="1">
      <c r="A19"/>
      <c r="B19" s="139"/>
      <c r="C19" s="140"/>
      <c r="D19" s="141"/>
      <c r="E19" s="164"/>
      <c r="F19" s="164"/>
      <c r="G19" s="142"/>
      <c r="H19" s="132"/>
      <c r="I19" s="1"/>
      <c r="J19" s="1"/>
      <c r="K19" s="1"/>
      <c r="L19" s="1"/>
      <c r="M19" s="1"/>
      <c r="N19" s="1"/>
      <c r="O19" s="1"/>
      <c r="Q19" s="1"/>
      <c r="R19" s="1"/>
      <c r="S19" s="1"/>
      <c r="T19" s="1"/>
    </row>
    <row r="20" spans="1:20" s="2" customFormat="1" ht="15" customHeight="1">
      <c r="A20"/>
      <c r="B20" s="139"/>
      <c r="C20" s="140"/>
      <c r="D20" s="141"/>
      <c r="E20" s="164"/>
      <c r="F20" s="164"/>
      <c r="G20" s="142"/>
      <c r="H20" s="132"/>
      <c r="I20" s="1"/>
      <c r="J20" s="1"/>
      <c r="K20" s="1"/>
      <c r="L20" s="1"/>
      <c r="M20" s="1"/>
      <c r="N20" s="1"/>
      <c r="O20" s="1"/>
      <c r="Q20" s="1"/>
      <c r="R20" s="1"/>
      <c r="S20" s="1"/>
      <c r="T20" s="1"/>
    </row>
    <row r="21" spans="1:20" s="2" customFormat="1" ht="15" customHeight="1">
      <c r="A21"/>
      <c r="B21" s="139"/>
      <c r="C21" s="140"/>
      <c r="D21" s="141"/>
      <c r="E21" s="164"/>
      <c r="F21" s="164"/>
      <c r="G21" s="142"/>
      <c r="H21" s="132"/>
      <c r="I21" s="1"/>
      <c r="J21" s="1"/>
      <c r="K21" s="1"/>
      <c r="L21" s="1"/>
      <c r="M21" s="1"/>
      <c r="N21" s="1"/>
      <c r="O21" s="1"/>
      <c r="Q21" s="1"/>
      <c r="R21" s="1"/>
      <c r="S21" s="1"/>
      <c r="T21" s="1"/>
    </row>
    <row r="22" spans="1:20" s="2" customFormat="1" ht="15" customHeight="1">
      <c r="A22"/>
      <c r="B22" s="139"/>
      <c r="C22" s="140"/>
      <c r="D22" s="141"/>
      <c r="E22" s="164"/>
      <c r="F22" s="164"/>
      <c r="G22" s="142"/>
      <c r="H22" s="132"/>
      <c r="I22" s="1"/>
      <c r="J22" s="1"/>
      <c r="K22" s="1"/>
      <c r="L22" s="1"/>
      <c r="M22" s="1"/>
      <c r="N22" s="1"/>
      <c r="O22" s="1"/>
      <c r="Q22" s="1"/>
      <c r="R22" s="1"/>
      <c r="S22" s="1"/>
      <c r="T22" s="1"/>
    </row>
    <row r="23" spans="1:20" s="2" customFormat="1" ht="15" customHeight="1">
      <c r="A23"/>
      <c r="B23" s="139"/>
      <c r="C23" s="140"/>
      <c r="D23" s="141"/>
      <c r="E23" s="164"/>
      <c r="F23" s="164"/>
      <c r="G23" s="142"/>
      <c r="H23" s="132"/>
      <c r="I23" s="1"/>
      <c r="J23" s="1"/>
      <c r="K23" s="1"/>
      <c r="L23" s="1"/>
      <c r="M23" s="1"/>
      <c r="N23" s="1"/>
      <c r="O23" s="1"/>
      <c r="Q23" s="1"/>
      <c r="R23" s="1"/>
      <c r="S23" s="1"/>
      <c r="T23" s="1"/>
    </row>
    <row r="24" spans="1:20" s="2" customFormat="1" ht="15" customHeight="1">
      <c r="A24"/>
      <c r="B24" s="139"/>
      <c r="C24" s="140"/>
      <c r="D24" s="141"/>
      <c r="E24" s="164"/>
      <c r="F24" s="164"/>
      <c r="G24" s="142"/>
      <c r="H24" s="132"/>
      <c r="I24" s="1"/>
      <c r="J24" s="1"/>
      <c r="K24" s="1"/>
      <c r="L24" s="1"/>
      <c r="M24" s="1"/>
      <c r="N24" s="1"/>
      <c r="O24" s="1"/>
      <c r="Q24" s="1"/>
      <c r="R24" s="1"/>
      <c r="S24" s="1"/>
      <c r="T24" s="1"/>
    </row>
    <row r="25" spans="1:20" s="2" customFormat="1" ht="15" customHeight="1">
      <c r="A25"/>
      <c r="B25" s="139"/>
      <c r="C25" s="144"/>
      <c r="D25" s="141"/>
      <c r="E25" s="164"/>
      <c r="F25" s="164"/>
      <c r="G25" s="142"/>
      <c r="H25" s="132"/>
      <c r="I25" s="1"/>
      <c r="J25" s="1"/>
      <c r="K25" s="1"/>
      <c r="L25" s="1"/>
      <c r="M25" s="1"/>
      <c r="N25" s="1"/>
      <c r="O25" s="1"/>
      <c r="Q25" s="1"/>
      <c r="R25" s="1"/>
      <c r="S25" s="1"/>
      <c r="T25" s="1"/>
    </row>
    <row r="26" spans="1:20" s="2" customFormat="1" ht="15" customHeight="1">
      <c r="A26"/>
      <c r="B26" s="139"/>
      <c r="C26" s="140"/>
      <c r="D26" s="141"/>
      <c r="E26" s="164"/>
      <c r="F26" s="164"/>
      <c r="G26" s="142"/>
      <c r="H26" s="145"/>
      <c r="I26" s="1"/>
      <c r="J26" s="1"/>
      <c r="K26" s="1"/>
      <c r="L26" s="1"/>
      <c r="M26" s="1"/>
      <c r="N26" s="1"/>
      <c r="O26" s="1"/>
      <c r="Q26" s="1"/>
      <c r="R26" s="1"/>
      <c r="S26" s="1"/>
      <c r="T26" s="1"/>
    </row>
    <row r="27" spans="1:20" s="2" customFormat="1" ht="15" customHeight="1">
      <c r="A27"/>
      <c r="B27" s="139"/>
      <c r="C27" s="143"/>
      <c r="D27" s="141"/>
      <c r="E27" s="164"/>
      <c r="F27" s="164"/>
      <c r="G27" s="142"/>
      <c r="H27" s="145"/>
      <c r="I27" s="1"/>
      <c r="J27" s="1"/>
      <c r="K27" s="1"/>
      <c r="L27" s="1"/>
      <c r="M27" s="1"/>
      <c r="N27" s="1"/>
      <c r="O27" s="1"/>
      <c r="Q27" s="1"/>
      <c r="R27" s="1"/>
      <c r="S27" s="1"/>
      <c r="T27" s="1"/>
    </row>
    <row r="28" spans="1:20" s="2" customFormat="1" ht="15" customHeight="1">
      <c r="A28"/>
      <c r="B28" s="139"/>
      <c r="C28" s="140"/>
      <c r="D28" s="141"/>
      <c r="E28" s="164"/>
      <c r="F28" s="164"/>
      <c r="G28" s="142"/>
      <c r="H28" s="145"/>
      <c r="I28" s="1"/>
      <c r="J28" s="1"/>
      <c r="K28" s="1"/>
      <c r="L28" s="1"/>
      <c r="M28" s="1"/>
      <c r="N28" s="1"/>
      <c r="O28" s="1"/>
      <c r="Q28" s="1"/>
      <c r="R28" s="1"/>
      <c r="S28" s="1"/>
      <c r="T28" s="1"/>
    </row>
    <row r="29" spans="1:20" s="2" customFormat="1" ht="15" customHeight="1">
      <c r="A29"/>
      <c r="B29" s="139"/>
      <c r="C29" s="140"/>
      <c r="D29" s="141"/>
      <c r="E29" s="164"/>
      <c r="F29" s="164"/>
      <c r="G29" s="142"/>
      <c r="H29" s="146"/>
      <c r="I29" s="1"/>
      <c r="J29" s="1"/>
      <c r="K29" s="1"/>
      <c r="L29" s="1"/>
      <c r="M29" s="1"/>
      <c r="N29" s="1"/>
      <c r="O29" s="1"/>
      <c r="Q29" s="1"/>
      <c r="R29" s="1"/>
      <c r="S29" s="1"/>
      <c r="T29" s="1"/>
    </row>
    <row r="30" spans="1:20" s="2" customFormat="1" ht="15" customHeight="1">
      <c r="A30"/>
      <c r="B30" s="139"/>
      <c r="C30" s="140"/>
      <c r="D30" s="141"/>
      <c r="E30" s="164"/>
      <c r="F30" s="164"/>
      <c r="G30" s="142"/>
      <c r="H30" s="147"/>
      <c r="I30" s="1"/>
      <c r="J30" s="1"/>
      <c r="K30" s="1"/>
      <c r="L30" s="1"/>
      <c r="M30" s="1"/>
      <c r="N30" s="1"/>
      <c r="O30" s="1"/>
      <c r="Q30" s="1"/>
      <c r="R30" s="1"/>
      <c r="S30" s="1"/>
      <c r="T30" s="1"/>
    </row>
    <row r="31" spans="1:20" s="2" customFormat="1" ht="15" customHeight="1">
      <c r="A31"/>
      <c r="B31" s="139"/>
      <c r="C31" s="140"/>
      <c r="D31" s="141"/>
      <c r="E31" s="164"/>
      <c r="F31" s="164"/>
      <c r="G31" s="142"/>
      <c r="H31" s="147"/>
      <c r="I31" s="1"/>
      <c r="J31" s="1"/>
      <c r="K31" s="1"/>
      <c r="L31" s="1"/>
      <c r="M31" s="1"/>
      <c r="N31" s="1"/>
      <c r="O31" s="1"/>
      <c r="Q31" s="1"/>
      <c r="R31" s="1"/>
      <c r="S31" s="1"/>
      <c r="T31" s="1"/>
    </row>
    <row r="32" spans="1:20" s="2" customFormat="1" ht="15" customHeight="1">
      <c r="A32"/>
      <c r="B32" s="139"/>
      <c r="C32" s="143"/>
      <c r="D32" s="148"/>
      <c r="E32" s="165"/>
      <c r="F32" s="165"/>
      <c r="G32" s="142"/>
      <c r="H32" s="147"/>
      <c r="I32" s="1"/>
      <c r="J32" s="1"/>
      <c r="K32" s="1"/>
      <c r="L32" s="1"/>
      <c r="M32" s="1"/>
      <c r="N32" s="1"/>
      <c r="O32" s="1"/>
      <c r="Q32" s="1"/>
      <c r="R32" s="1"/>
      <c r="S32" s="1"/>
      <c r="T32" s="1"/>
    </row>
    <row r="33" spans="1:20" s="2" customFormat="1" ht="15" customHeight="1">
      <c r="A33"/>
      <c r="B33" s="139"/>
      <c r="C33" s="143"/>
      <c r="D33" s="148"/>
      <c r="E33" s="165"/>
      <c r="F33" s="165"/>
      <c r="G33" s="142"/>
      <c r="H33" s="147"/>
      <c r="I33" s="1"/>
      <c r="J33" s="1"/>
      <c r="K33" s="1"/>
      <c r="L33" s="1"/>
      <c r="M33" s="1"/>
      <c r="N33" s="1"/>
      <c r="O33" s="1"/>
      <c r="Q33" s="1"/>
      <c r="R33" s="1"/>
      <c r="S33" s="1"/>
      <c r="T33" s="1"/>
    </row>
    <row r="34" spans="1:20" s="2" customFormat="1" ht="15" customHeight="1">
      <c r="A34"/>
      <c r="B34" s="139"/>
      <c r="C34" s="144"/>
      <c r="D34" s="148"/>
      <c r="E34" s="165"/>
      <c r="F34" s="165"/>
      <c r="G34" s="142"/>
      <c r="H34" s="147"/>
      <c r="I34" s="1"/>
      <c r="J34" s="1"/>
      <c r="K34" s="1"/>
      <c r="L34" s="1"/>
      <c r="M34" s="1"/>
      <c r="N34" s="1"/>
      <c r="O34" s="1"/>
      <c r="Q34" s="1"/>
      <c r="R34" s="1"/>
      <c r="S34" s="1"/>
      <c r="T34" s="1"/>
    </row>
    <row r="35" spans="1:20" s="1" customFormat="1" ht="15" customHeight="1">
      <c r="B35" s="139"/>
      <c r="C35" s="143"/>
      <c r="D35" s="148"/>
      <c r="E35" s="165"/>
      <c r="F35" s="165"/>
      <c r="G35" s="142"/>
      <c r="H35" s="147"/>
      <c r="P35" s="2"/>
    </row>
    <row r="36" spans="1:20" s="1" customFormat="1" ht="15" customHeight="1">
      <c r="B36" s="139"/>
      <c r="C36" s="143"/>
      <c r="D36" s="148"/>
      <c r="E36" s="165"/>
      <c r="F36" s="165"/>
      <c r="G36" s="142"/>
      <c r="H36" s="147"/>
      <c r="P36" s="2"/>
    </row>
    <row r="37" spans="1:20" s="1" customFormat="1" ht="15" customHeight="1" thickBot="1">
      <c r="B37" s="149"/>
      <c r="C37" s="150"/>
      <c r="D37" s="151"/>
      <c r="E37" s="166"/>
      <c r="F37" s="166"/>
      <c r="G37" s="152"/>
      <c r="H37" s="147"/>
      <c r="P37" s="2"/>
    </row>
    <row r="38" spans="1:20" s="1" customFormat="1">
      <c r="B38" s="39"/>
      <c r="C38" s="40"/>
      <c r="D38" s="41"/>
      <c r="E38" s="41"/>
      <c r="F38" s="41"/>
      <c r="P38" s="2"/>
    </row>
    <row r="39" spans="1:20">
      <c r="B39" s="39"/>
      <c r="C39" s="40"/>
      <c r="D39" s="41"/>
      <c r="E39" s="41"/>
      <c r="F39" s="41"/>
    </row>
    <row r="40" spans="1:20">
      <c r="B40" s="39"/>
      <c r="C40" s="40"/>
      <c r="D40" s="42"/>
      <c r="E40" s="42"/>
      <c r="F40" s="42"/>
    </row>
    <row r="41" spans="1:20">
      <c r="B41" s="39"/>
      <c r="C41" s="40"/>
      <c r="D41" s="41"/>
      <c r="E41" s="41"/>
      <c r="F41" s="41"/>
    </row>
    <row r="42" spans="1:20">
      <c r="B42" s="39"/>
      <c r="C42" s="40"/>
      <c r="D42" s="41"/>
      <c r="E42" s="41"/>
      <c r="F42" s="41"/>
    </row>
    <row r="43" spans="1:20">
      <c r="B43" s="39"/>
      <c r="C43" s="40"/>
      <c r="D43" s="41"/>
      <c r="E43" s="41"/>
      <c r="F43" s="41"/>
    </row>
    <row r="44" spans="1:20">
      <c r="B44" s="39"/>
      <c r="C44" s="40"/>
      <c r="D44" s="41"/>
      <c r="E44" s="41"/>
      <c r="F44" s="41"/>
    </row>
    <row r="45" spans="1:20">
      <c r="B45" s="39"/>
      <c r="C45" s="40"/>
      <c r="D45" s="41"/>
      <c r="E45" s="41"/>
      <c r="F45" s="41"/>
    </row>
    <row r="46" spans="1:20">
      <c r="B46" s="39"/>
      <c r="C46" s="40"/>
      <c r="D46" s="41"/>
      <c r="E46" s="41"/>
      <c r="F46" s="41"/>
    </row>
    <row r="47" spans="1:20">
      <c r="B47" s="39"/>
      <c r="C47" s="40"/>
      <c r="D47" s="41"/>
      <c r="E47" s="41"/>
      <c r="F47" s="41"/>
    </row>
    <row r="48" spans="1:20">
      <c r="B48" s="39"/>
      <c r="C48" s="40"/>
      <c r="D48" s="41"/>
      <c r="E48" s="41"/>
      <c r="F48" s="41"/>
    </row>
    <row r="49" spans="2:6">
      <c r="B49" s="39"/>
      <c r="C49" s="40"/>
      <c r="D49" s="41"/>
      <c r="E49" s="41"/>
      <c r="F49" s="41"/>
    </row>
    <row r="50" spans="2:6">
      <c r="B50" s="39"/>
      <c r="C50" s="40"/>
      <c r="D50" s="41"/>
      <c r="E50" s="41"/>
      <c r="F50" s="41"/>
    </row>
    <row r="51" spans="2:6">
      <c r="B51" s="39"/>
      <c r="C51" s="40"/>
      <c r="D51" s="41"/>
      <c r="E51" s="41"/>
      <c r="F51" s="41"/>
    </row>
    <row r="52" spans="2:6">
      <c r="B52" s="39"/>
      <c r="C52" s="40"/>
      <c r="D52" s="41"/>
      <c r="E52" s="41"/>
      <c r="F52" s="41"/>
    </row>
    <row r="53" spans="2:6">
      <c r="B53" s="39"/>
      <c r="C53" s="40"/>
      <c r="D53" s="41"/>
      <c r="E53" s="41"/>
      <c r="F53" s="41"/>
    </row>
    <row r="54" spans="2:6">
      <c r="B54" s="39"/>
      <c r="C54" s="40"/>
      <c r="D54" s="41"/>
      <c r="E54" s="41"/>
      <c r="F54" s="41"/>
    </row>
    <row r="55" spans="2:6">
      <c r="B55" s="39"/>
      <c r="C55" s="40"/>
      <c r="D55" s="41"/>
      <c r="E55" s="41"/>
      <c r="F55" s="41"/>
    </row>
    <row r="56" spans="2:6">
      <c r="B56" s="39"/>
      <c r="C56" s="40"/>
      <c r="D56" s="41"/>
      <c r="E56" s="41"/>
      <c r="F56" s="41"/>
    </row>
    <row r="57" spans="2:6">
      <c r="B57" s="39"/>
      <c r="C57" s="40"/>
      <c r="D57" s="41"/>
      <c r="E57" s="41"/>
      <c r="F57" s="41"/>
    </row>
    <row r="58" spans="2:6">
      <c r="B58" s="39"/>
      <c r="C58" s="40"/>
      <c r="D58" s="41"/>
      <c r="E58" s="41"/>
      <c r="F58" s="41"/>
    </row>
    <row r="59" spans="2:6">
      <c r="B59" s="39"/>
      <c r="C59" s="40"/>
      <c r="D59" s="41"/>
      <c r="E59" s="41"/>
      <c r="F59" s="41"/>
    </row>
    <row r="60" spans="2:6">
      <c r="B60" s="39"/>
      <c r="C60" s="40"/>
      <c r="D60" s="41"/>
      <c r="E60" s="41"/>
      <c r="F60" s="41"/>
    </row>
    <row r="61" spans="2:6">
      <c r="B61" s="39"/>
      <c r="C61" s="40"/>
      <c r="D61" s="41"/>
      <c r="E61" s="41"/>
      <c r="F61" s="41"/>
    </row>
    <row r="62" spans="2:6">
      <c r="B62" s="39"/>
      <c r="C62" s="40"/>
      <c r="D62" s="41"/>
      <c r="E62" s="41"/>
      <c r="F62" s="41"/>
    </row>
    <row r="63" spans="2:6">
      <c r="B63" s="39"/>
      <c r="C63" s="40"/>
      <c r="D63" s="41"/>
      <c r="E63" s="41"/>
      <c r="F63" s="41"/>
    </row>
    <row r="64" spans="2:6">
      <c r="B64" s="39"/>
      <c r="C64" s="40"/>
      <c r="D64" s="41"/>
      <c r="E64" s="41"/>
      <c r="F64" s="41"/>
    </row>
    <row r="65" spans="2:6">
      <c r="B65" s="39"/>
      <c r="C65" s="40"/>
      <c r="D65" s="41"/>
      <c r="E65" s="41"/>
      <c r="F65" s="41"/>
    </row>
    <row r="66" spans="2:6">
      <c r="B66" s="39"/>
      <c r="C66" s="40"/>
      <c r="D66" s="41"/>
      <c r="E66" s="41"/>
      <c r="F66" s="41"/>
    </row>
    <row r="67" spans="2:6">
      <c r="B67" s="39"/>
      <c r="C67" s="40"/>
      <c r="D67" s="41"/>
      <c r="E67" s="41"/>
      <c r="F67" s="41"/>
    </row>
    <row r="68" spans="2:6">
      <c r="B68" s="39"/>
      <c r="C68" s="40"/>
      <c r="D68" s="41"/>
      <c r="E68" s="41"/>
      <c r="F68" s="41"/>
    </row>
    <row r="69" spans="2:6">
      <c r="B69" s="39"/>
      <c r="C69" s="40"/>
      <c r="D69" s="41"/>
      <c r="E69" s="41"/>
      <c r="F69" s="41"/>
    </row>
    <row r="70" spans="2:6">
      <c r="B70" s="39"/>
      <c r="C70" s="40"/>
      <c r="D70" s="41"/>
      <c r="E70" s="41"/>
      <c r="F70" s="41"/>
    </row>
    <row r="71" spans="2:6">
      <c r="B71" s="39"/>
      <c r="C71" s="40"/>
      <c r="D71" s="41"/>
      <c r="E71" s="41"/>
      <c r="F71" s="41"/>
    </row>
    <row r="72" spans="2:6">
      <c r="B72" s="39"/>
      <c r="C72" s="40"/>
      <c r="D72" s="41"/>
      <c r="E72" s="41"/>
      <c r="F72" s="41"/>
    </row>
    <row r="73" spans="2:6">
      <c r="B73" s="39"/>
      <c r="C73" s="40"/>
      <c r="D73" s="41"/>
      <c r="E73" s="41"/>
      <c r="F73" s="41"/>
    </row>
    <row r="74" spans="2:6">
      <c r="B74" s="39"/>
      <c r="C74" s="40"/>
      <c r="D74" s="41"/>
      <c r="E74" s="41"/>
      <c r="F74" s="41"/>
    </row>
    <row r="75" spans="2:6">
      <c r="B75" s="39"/>
      <c r="C75" s="40"/>
      <c r="D75" s="41"/>
      <c r="E75" s="41"/>
      <c r="F75" s="41"/>
    </row>
    <row r="76" spans="2:6">
      <c r="B76" s="39"/>
      <c r="C76" s="40"/>
      <c r="D76" s="41"/>
      <c r="E76" s="41"/>
      <c r="F76" s="41"/>
    </row>
    <row r="77" spans="2:6">
      <c r="B77" s="39"/>
      <c r="C77" s="40"/>
      <c r="D77" s="41"/>
      <c r="E77" s="41"/>
      <c r="F77" s="41"/>
    </row>
    <row r="78" spans="2:6">
      <c r="B78" s="39"/>
      <c r="C78" s="40"/>
      <c r="D78" s="41"/>
      <c r="E78" s="41"/>
      <c r="F78" s="41"/>
    </row>
    <row r="79" spans="2:6">
      <c r="B79" s="39"/>
      <c r="C79" s="40"/>
      <c r="D79" s="41"/>
      <c r="E79" s="41"/>
      <c r="F79" s="41"/>
    </row>
    <row r="80" spans="2:6">
      <c r="B80" s="39"/>
      <c r="C80" s="40"/>
      <c r="D80" s="41"/>
      <c r="E80" s="41"/>
      <c r="F80" s="41"/>
    </row>
    <row r="81" spans="2:6">
      <c r="B81" s="39"/>
      <c r="C81" s="40"/>
      <c r="D81" s="41"/>
      <c r="E81" s="41"/>
      <c r="F81" s="41"/>
    </row>
    <row r="82" spans="2:6">
      <c r="B82" s="39"/>
      <c r="C82" s="40"/>
      <c r="D82" s="42"/>
      <c r="E82" s="42"/>
      <c r="F82" s="42"/>
    </row>
    <row r="83" spans="2:6">
      <c r="B83" s="39"/>
      <c r="C83" s="40"/>
      <c r="D83" s="42"/>
      <c r="E83" s="42"/>
      <c r="F83" s="42"/>
    </row>
    <row r="84" spans="2:6">
      <c r="B84" s="39"/>
      <c r="C84" s="40"/>
      <c r="D84" s="41"/>
      <c r="E84" s="41"/>
      <c r="F84" s="41"/>
    </row>
    <row r="85" spans="2:6">
      <c r="B85" s="39"/>
      <c r="C85" s="40"/>
      <c r="D85" s="41"/>
      <c r="E85" s="41"/>
      <c r="F85" s="41"/>
    </row>
    <row r="86" spans="2:6">
      <c r="B86" s="39"/>
      <c r="C86" s="40"/>
      <c r="D86" s="41"/>
      <c r="E86" s="41"/>
      <c r="F86" s="41"/>
    </row>
    <row r="87" spans="2:6">
      <c r="B87" s="39"/>
      <c r="C87" s="40"/>
      <c r="D87" s="41"/>
      <c r="E87" s="41"/>
      <c r="F87" s="41"/>
    </row>
    <row r="88" spans="2:6">
      <c r="B88" s="39"/>
      <c r="C88" s="40"/>
      <c r="D88" s="41"/>
      <c r="E88" s="41"/>
      <c r="F88" s="41"/>
    </row>
    <row r="89" spans="2:6">
      <c r="B89" s="39"/>
      <c r="C89" s="40"/>
      <c r="D89" s="41"/>
      <c r="E89" s="41"/>
      <c r="F89" s="41"/>
    </row>
    <row r="90" spans="2:6">
      <c r="B90" s="39"/>
      <c r="C90" s="40"/>
      <c r="D90" s="41"/>
      <c r="E90" s="41"/>
      <c r="F90" s="41"/>
    </row>
    <row r="91" spans="2:6">
      <c r="B91" s="39"/>
      <c r="C91" s="40"/>
      <c r="D91" s="41"/>
      <c r="E91" s="41"/>
      <c r="F91" s="41"/>
    </row>
    <row r="92" spans="2:6">
      <c r="B92" s="39"/>
      <c r="C92" s="40"/>
      <c r="D92" s="41"/>
      <c r="E92" s="41"/>
      <c r="F92" s="41"/>
    </row>
    <row r="93" spans="2:6">
      <c r="B93" s="39"/>
      <c r="C93" s="40"/>
      <c r="D93" s="41"/>
      <c r="E93" s="41"/>
      <c r="F93" s="41"/>
    </row>
    <row r="94" spans="2:6">
      <c r="B94" s="39"/>
      <c r="C94" s="40"/>
      <c r="D94" s="41"/>
      <c r="E94" s="41"/>
      <c r="F94" s="41"/>
    </row>
    <row r="95" spans="2:6">
      <c r="B95" s="39"/>
      <c r="C95" s="40"/>
      <c r="D95" s="42"/>
      <c r="E95" s="42"/>
      <c r="F95" s="42"/>
    </row>
    <row r="96" spans="2:6">
      <c r="B96" s="39"/>
      <c r="C96" s="40"/>
      <c r="D96" s="42"/>
      <c r="E96" s="42"/>
      <c r="F96" s="42"/>
    </row>
    <row r="97" spans="1:31">
      <c r="B97" s="39"/>
      <c r="C97" s="40"/>
      <c r="D97" s="42"/>
      <c r="E97" s="42"/>
      <c r="F97" s="42"/>
    </row>
    <row r="98" spans="1:31" s="1" customFormat="1">
      <c r="A98"/>
      <c r="B98" s="39"/>
      <c r="C98" s="40"/>
      <c r="D98" s="41"/>
      <c r="E98" s="41"/>
      <c r="F98" s="41"/>
      <c r="G98"/>
      <c r="H98"/>
      <c r="I98"/>
      <c r="J98"/>
      <c r="K98"/>
      <c r="L98"/>
      <c r="M98"/>
      <c r="N98"/>
      <c r="O98"/>
      <c r="P98" s="2"/>
      <c r="U98"/>
      <c r="V98"/>
      <c r="W98"/>
      <c r="X98"/>
      <c r="Y98"/>
      <c r="Z98"/>
      <c r="AA98"/>
      <c r="AB98"/>
      <c r="AC98"/>
      <c r="AD98"/>
      <c r="AE98"/>
    </row>
    <row r="99" spans="1:31" s="1" customFormat="1">
      <c r="A99"/>
      <c r="B99" s="39"/>
      <c r="C99" s="40"/>
      <c r="D99" s="41"/>
      <c r="E99" s="41"/>
      <c r="F99" s="41"/>
      <c r="G99"/>
      <c r="H99"/>
      <c r="I99"/>
      <c r="J99"/>
      <c r="K99"/>
      <c r="L99"/>
      <c r="M99"/>
      <c r="N99"/>
      <c r="O99"/>
      <c r="P99" s="2"/>
      <c r="U99"/>
      <c r="V99"/>
      <c r="W99"/>
      <c r="X99"/>
      <c r="Y99"/>
      <c r="Z99"/>
      <c r="AA99"/>
      <c r="AB99"/>
      <c r="AC99"/>
      <c r="AD99"/>
      <c r="AE99"/>
    </row>
    <row r="100" spans="1:31" s="1" customFormat="1">
      <c r="A100"/>
      <c r="B100" s="39"/>
      <c r="C100" s="40"/>
      <c r="D100" s="41"/>
      <c r="E100" s="41"/>
      <c r="F100" s="41"/>
      <c r="G100"/>
      <c r="H100"/>
      <c r="I100"/>
      <c r="J100"/>
      <c r="K100"/>
      <c r="L100"/>
      <c r="M100"/>
      <c r="N100"/>
      <c r="O100"/>
      <c r="P100" s="2"/>
      <c r="Q100" s="31" t="s">
        <v>48</v>
      </c>
      <c r="R100"/>
      <c r="S100"/>
      <c r="U100"/>
      <c r="V100"/>
      <c r="W100"/>
      <c r="X100"/>
      <c r="Y100"/>
      <c r="Z100"/>
      <c r="AA100"/>
      <c r="AB100"/>
      <c r="AC100"/>
      <c r="AD100"/>
      <c r="AE100"/>
    </row>
    <row r="101" spans="1:31" s="1" customFormat="1">
      <c r="A101"/>
      <c r="B101" s="39"/>
      <c r="C101" s="40"/>
      <c r="D101" s="41"/>
      <c r="E101" s="41"/>
      <c r="F101" s="41"/>
      <c r="G101"/>
      <c r="H101"/>
      <c r="I101"/>
      <c r="J101"/>
      <c r="K101"/>
      <c r="L101"/>
      <c r="M101"/>
      <c r="N101"/>
      <c r="O101"/>
      <c r="P101" s="2"/>
      <c r="Q101" s="31" t="s">
        <v>22</v>
      </c>
      <c r="R101"/>
      <c r="S101"/>
      <c r="U101"/>
      <c r="V101"/>
      <c r="W101"/>
      <c r="X101"/>
      <c r="Y101"/>
      <c r="Z101"/>
      <c r="AA101"/>
      <c r="AB101"/>
      <c r="AC101"/>
      <c r="AD101"/>
      <c r="AE101"/>
    </row>
    <row r="102" spans="1:31" s="1" customFormat="1">
      <c r="A102"/>
      <c r="B102" s="39"/>
      <c r="C102" s="40"/>
      <c r="D102" s="41"/>
      <c r="E102" s="41"/>
      <c r="F102" s="41"/>
      <c r="G102"/>
      <c r="H102"/>
      <c r="I102"/>
      <c r="J102"/>
      <c r="K102"/>
      <c r="L102"/>
      <c r="M102"/>
      <c r="N102"/>
      <c r="O102"/>
      <c r="P102" s="2"/>
      <c r="U102"/>
      <c r="V102"/>
      <c r="W102"/>
      <c r="X102"/>
      <c r="Y102"/>
      <c r="Z102"/>
      <c r="AA102"/>
      <c r="AB102"/>
      <c r="AC102"/>
      <c r="AD102"/>
      <c r="AE102"/>
    </row>
    <row r="103" spans="1:31" s="1" customFormat="1">
      <c r="A103"/>
      <c r="B103" s="39"/>
      <c r="C103" s="40"/>
      <c r="D103" s="41"/>
      <c r="E103" s="41"/>
      <c r="F103" s="41"/>
      <c r="G103"/>
      <c r="H103"/>
      <c r="I103"/>
      <c r="J103"/>
      <c r="K103"/>
      <c r="L103"/>
      <c r="M103"/>
      <c r="N103"/>
      <c r="O103"/>
      <c r="P103" s="2"/>
      <c r="U103"/>
      <c r="V103"/>
      <c r="W103"/>
      <c r="X103"/>
      <c r="Y103"/>
      <c r="Z103"/>
      <c r="AA103"/>
      <c r="AB103"/>
      <c r="AC103"/>
      <c r="AD103"/>
      <c r="AE103"/>
    </row>
    <row r="104" spans="1:31" s="1" customFormat="1">
      <c r="A104"/>
      <c r="B104" s="39"/>
      <c r="C104" s="40"/>
      <c r="D104" s="41"/>
      <c r="E104" s="41"/>
      <c r="F104" s="41"/>
      <c r="G104"/>
      <c r="H104"/>
      <c r="I104"/>
      <c r="J104"/>
      <c r="K104"/>
      <c r="L104"/>
      <c r="M104"/>
      <c r="N104"/>
      <c r="O104"/>
      <c r="P104" s="2"/>
      <c r="U104"/>
      <c r="V104"/>
      <c r="W104"/>
      <c r="X104"/>
      <c r="Y104"/>
      <c r="Z104"/>
      <c r="AA104"/>
      <c r="AB104"/>
      <c r="AC104"/>
      <c r="AD104"/>
      <c r="AE104"/>
    </row>
    <row r="105" spans="1:31" s="1" customFormat="1">
      <c r="A105"/>
      <c r="B105" s="39"/>
      <c r="C105" s="40"/>
      <c r="D105" s="41"/>
      <c r="E105" s="41"/>
      <c r="F105" s="41"/>
      <c r="G105"/>
      <c r="H105"/>
      <c r="I105"/>
      <c r="J105"/>
      <c r="K105"/>
      <c r="L105"/>
      <c r="M105"/>
      <c r="N105"/>
      <c r="O105"/>
      <c r="P105" s="2"/>
      <c r="U105"/>
      <c r="V105"/>
      <c r="W105"/>
      <c r="X105"/>
      <c r="Y105"/>
      <c r="Z105"/>
      <c r="AA105"/>
      <c r="AB105"/>
      <c r="AC105"/>
      <c r="AD105"/>
      <c r="AE105"/>
    </row>
    <row r="106" spans="1:31" s="1" customFormat="1">
      <c r="A106"/>
      <c r="B106" s="39"/>
      <c r="C106" s="40"/>
      <c r="D106" s="41"/>
      <c r="E106" s="41"/>
      <c r="F106" s="41"/>
      <c r="G106"/>
      <c r="H106"/>
      <c r="I106"/>
      <c r="J106"/>
      <c r="K106"/>
      <c r="L106"/>
      <c r="M106"/>
      <c r="N106"/>
      <c r="O106"/>
      <c r="P106" s="2"/>
      <c r="U106"/>
      <c r="V106"/>
      <c r="W106"/>
      <c r="X106"/>
      <c r="Y106"/>
      <c r="Z106"/>
      <c r="AA106"/>
      <c r="AB106"/>
      <c r="AC106"/>
      <c r="AD106"/>
      <c r="AE106"/>
    </row>
    <row r="107" spans="1:31" s="1" customFormat="1">
      <c r="A107"/>
      <c r="B107" s="39"/>
      <c r="C107" s="40"/>
      <c r="D107" s="41"/>
      <c r="E107" s="41"/>
      <c r="F107" s="41"/>
      <c r="G107"/>
      <c r="H107"/>
      <c r="I107"/>
      <c r="J107"/>
      <c r="K107"/>
      <c r="L107"/>
      <c r="M107"/>
      <c r="N107"/>
      <c r="O107"/>
      <c r="P107" s="2"/>
      <c r="U107"/>
      <c r="V107"/>
      <c r="W107"/>
      <c r="X107"/>
      <c r="Y107"/>
      <c r="Z107"/>
      <c r="AA107"/>
      <c r="AB107"/>
      <c r="AC107"/>
      <c r="AD107"/>
      <c r="AE107"/>
    </row>
    <row r="108" spans="1:31" s="1" customFormat="1">
      <c r="A108"/>
      <c r="B108" s="39"/>
      <c r="C108" s="40"/>
      <c r="D108" s="41"/>
      <c r="E108" s="41"/>
      <c r="F108" s="41"/>
      <c r="G108"/>
      <c r="H108"/>
      <c r="I108"/>
      <c r="J108"/>
      <c r="K108"/>
      <c r="L108"/>
      <c r="M108"/>
      <c r="N108"/>
      <c r="O108"/>
      <c r="P108" s="2"/>
      <c r="U108"/>
      <c r="V108"/>
      <c r="W108"/>
      <c r="X108"/>
      <c r="Y108"/>
      <c r="Z108"/>
      <c r="AA108"/>
      <c r="AB108"/>
      <c r="AC108"/>
      <c r="AD108"/>
      <c r="AE108"/>
    </row>
    <row r="109" spans="1:31" s="1" customFormat="1">
      <c r="A109"/>
      <c r="B109" s="39"/>
      <c r="C109" s="40"/>
      <c r="D109" s="41"/>
      <c r="E109" s="41"/>
      <c r="F109" s="41"/>
      <c r="G109"/>
      <c r="H109"/>
      <c r="I109"/>
      <c r="J109"/>
      <c r="K109"/>
      <c r="L109"/>
      <c r="M109"/>
      <c r="N109"/>
      <c r="O109"/>
      <c r="P109" s="2"/>
      <c r="U109"/>
      <c r="V109"/>
      <c r="W109"/>
      <c r="X109"/>
      <c r="Y109"/>
      <c r="Z109"/>
      <c r="AA109"/>
      <c r="AB109"/>
      <c r="AC109"/>
      <c r="AD109"/>
      <c r="AE109"/>
    </row>
    <row r="110" spans="1:31" s="1" customFormat="1">
      <c r="A110"/>
      <c r="B110" s="39"/>
      <c r="C110" s="40"/>
      <c r="D110" s="41"/>
      <c r="E110" s="41"/>
      <c r="F110" s="41"/>
      <c r="G110"/>
      <c r="H110"/>
      <c r="I110"/>
      <c r="J110"/>
      <c r="K110"/>
      <c r="L110"/>
      <c r="M110"/>
      <c r="N110"/>
      <c r="O110"/>
      <c r="P110" s="2"/>
      <c r="U110"/>
      <c r="V110"/>
      <c r="W110"/>
      <c r="X110"/>
      <c r="Y110"/>
      <c r="Z110"/>
      <c r="AA110"/>
      <c r="AB110"/>
      <c r="AC110"/>
      <c r="AD110"/>
      <c r="AE110"/>
    </row>
    <row r="111" spans="1:31" s="1" customFormat="1">
      <c r="A111"/>
      <c r="B111" s="39"/>
      <c r="C111" s="40"/>
      <c r="D111" s="41"/>
      <c r="E111" s="41"/>
      <c r="F111" s="41"/>
      <c r="G111"/>
      <c r="H111"/>
      <c r="I111"/>
      <c r="J111"/>
      <c r="K111"/>
      <c r="L111"/>
      <c r="M111"/>
      <c r="N111"/>
      <c r="O111"/>
      <c r="P111" s="2"/>
      <c r="U111"/>
      <c r="V111"/>
      <c r="W111"/>
      <c r="X111"/>
      <c r="Y111"/>
      <c r="Z111"/>
      <c r="AA111"/>
      <c r="AB111"/>
      <c r="AC111"/>
      <c r="AD111"/>
      <c r="AE111"/>
    </row>
    <row r="112" spans="1:31" s="1" customFormat="1">
      <c r="A112"/>
      <c r="B112" s="39"/>
      <c r="C112" s="40"/>
      <c r="D112" s="41"/>
      <c r="E112" s="41"/>
      <c r="F112" s="41"/>
      <c r="G112"/>
      <c r="H112"/>
      <c r="I112"/>
      <c r="J112"/>
      <c r="K112"/>
      <c r="L112"/>
      <c r="M112"/>
      <c r="N112"/>
      <c r="O112"/>
      <c r="P112" s="2"/>
      <c r="U112"/>
      <c r="V112"/>
      <c r="W112"/>
      <c r="X112"/>
      <c r="Y112"/>
      <c r="Z112"/>
      <c r="AA112"/>
      <c r="AB112"/>
      <c r="AC112"/>
      <c r="AD112"/>
      <c r="AE112"/>
    </row>
    <row r="113" spans="1:31" s="1" customFormat="1">
      <c r="A113"/>
      <c r="B113" s="39"/>
      <c r="C113" s="40"/>
      <c r="D113" s="41"/>
      <c r="E113" s="41"/>
      <c r="F113" s="41"/>
      <c r="G113"/>
      <c r="H113"/>
      <c r="I113"/>
      <c r="J113"/>
      <c r="K113"/>
      <c r="L113"/>
      <c r="M113"/>
      <c r="N113"/>
      <c r="O113"/>
      <c r="P113" s="2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B114" s="39"/>
      <c r="C114" s="40"/>
      <c r="D114" s="41"/>
      <c r="E114" s="41"/>
      <c r="F114" s="41"/>
    </row>
    <row r="115" spans="1:31">
      <c r="B115" s="39"/>
      <c r="C115" s="40"/>
      <c r="D115" s="41"/>
      <c r="E115" s="41"/>
      <c r="F115" s="41"/>
    </row>
    <row r="116" spans="1:31">
      <c r="B116" s="39"/>
      <c r="C116" s="40"/>
      <c r="D116" s="41"/>
      <c r="E116" s="41"/>
      <c r="F116" s="41"/>
    </row>
    <row r="117" spans="1:31">
      <c r="B117" s="39"/>
      <c r="C117" s="40"/>
      <c r="D117" s="42"/>
      <c r="E117" s="42"/>
      <c r="F117" s="42"/>
    </row>
    <row r="118" spans="1:31">
      <c r="B118" s="39"/>
      <c r="C118" s="40"/>
      <c r="D118" s="41"/>
      <c r="E118" s="41"/>
      <c r="F118" s="41"/>
    </row>
    <row r="119" spans="1:31">
      <c r="B119" s="39"/>
      <c r="C119" s="40"/>
      <c r="D119" s="41"/>
      <c r="E119" s="41"/>
      <c r="F119" s="41"/>
    </row>
    <row r="120" spans="1:31">
      <c r="B120" s="39"/>
      <c r="C120" s="40"/>
      <c r="D120" s="41"/>
      <c r="E120" s="41"/>
      <c r="F120" s="41"/>
    </row>
    <row r="121" spans="1:31">
      <c r="B121" s="39"/>
      <c r="C121" s="40"/>
      <c r="D121" s="41"/>
      <c r="E121" s="41"/>
      <c r="F121" s="41"/>
    </row>
    <row r="122" spans="1:31">
      <c r="B122" s="39"/>
      <c r="C122" s="40"/>
      <c r="D122" s="41"/>
      <c r="E122" s="41"/>
      <c r="F122" s="41"/>
    </row>
    <row r="123" spans="1:31">
      <c r="B123" s="39"/>
      <c r="C123" s="40"/>
      <c r="D123" s="41"/>
      <c r="E123" s="41"/>
      <c r="F123" s="41"/>
    </row>
    <row r="124" spans="1:31">
      <c r="B124" s="39"/>
      <c r="C124" s="40"/>
      <c r="D124" s="41"/>
      <c r="E124" s="41"/>
      <c r="F124" s="41"/>
    </row>
    <row r="125" spans="1:31">
      <c r="B125" s="39"/>
      <c r="C125" s="40"/>
      <c r="D125" s="41"/>
      <c r="E125" s="41"/>
      <c r="F125" s="41"/>
    </row>
  </sheetData>
  <mergeCells count="1">
    <mergeCell ref="B8:G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Gráficos</vt:lpstr>
      </vt:variant>
      <vt:variant>
        <vt:i4>1</vt:i4>
      </vt:variant>
    </vt:vector>
  </HeadingPairs>
  <TitlesOfParts>
    <vt:vector size="12" baseType="lpstr">
      <vt:lpstr>CONTAS</vt:lpstr>
      <vt:lpstr>OPERACIONAL</vt:lpstr>
      <vt:lpstr>PEDIDOS</vt:lpstr>
      <vt:lpstr>ENCERRAR</vt:lpstr>
      <vt:lpstr>VENDAS</vt:lpstr>
      <vt:lpstr>SUBTOTAL</vt:lpstr>
      <vt:lpstr>CONSOLIDAR</vt:lpstr>
      <vt:lpstr>TAB_DINAMICA</vt:lpstr>
      <vt:lpstr>GRAFICO</vt:lpstr>
      <vt:lpstr>PRODUTOS_PEDIDOS</vt:lpstr>
      <vt:lpstr>CONTAS_LOGIN</vt:lpstr>
      <vt:lpstr>METAS_(COITADOS)</vt:lpstr>
    </vt:vector>
  </TitlesOfParts>
  <Company>CPS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Etec de Sapopemba</dc:creator>
  <cp:lastModifiedBy>Aluno</cp:lastModifiedBy>
  <dcterms:created xsi:type="dcterms:W3CDTF">2023-04-03T17:39:39Z</dcterms:created>
  <dcterms:modified xsi:type="dcterms:W3CDTF">2025-09-10T15:10:34Z</dcterms:modified>
</cp:coreProperties>
</file>